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dys.sharepoint.com/sites/ma_bvd_BvD_Liens/Shared Documents/Ownership Team_India/India Team Details/Preferred Holidays/"/>
    </mc:Choice>
  </mc:AlternateContent>
  <xr:revisionPtr revIDLastSave="0" documentId="8_{E349CE53-46A6-4A68-B44F-4E8669861DBB}" xr6:coauthVersionLast="47" xr6:coauthVersionMax="47" xr10:uidLastSave="{00000000-0000-0000-0000-000000000000}"/>
  <bookViews>
    <workbookView xWindow="-110" yWindow="-110" windowWidth="19420" windowHeight="10300" firstSheet="5" activeTab="5" xr2:uid="{50A74635-2150-4CC2-90A5-E071FCDF8023}"/>
  </bookViews>
  <sheets>
    <sheet name="List of leaves 2024" sheetId="2" r:id="rId1"/>
    <sheet name="GGN_2024" sheetId="1" r:id="rId2"/>
    <sheet name="List of leaves 2025" sheetId="4" r:id="rId3"/>
    <sheet name="List Of Leaves 2026" sheetId="5" r:id="rId4"/>
    <sheet name="GGN_2025" sheetId="3" r:id="rId5"/>
    <sheet name="GGN_2026" sheetId="6" r:id="rId6"/>
  </sheet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D31" i="6"/>
  <c r="D32" i="6"/>
  <c r="D30" i="6"/>
  <c r="D29" i="6"/>
  <c r="D28" i="6"/>
  <c r="D27" i="6"/>
  <c r="D26" i="6"/>
  <c r="D25" i="6"/>
  <c r="D24" i="6"/>
  <c r="D23" i="6"/>
  <c r="D22" i="6"/>
  <c r="D21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U4" i="3"/>
  <c r="AA4" i="3"/>
  <c r="Y4" i="3"/>
  <c r="X4" i="3"/>
  <c r="T4" i="3"/>
  <c r="S4" i="3"/>
  <c r="Q4" i="3"/>
  <c r="AC4" i="3"/>
  <c r="AD4" i="3"/>
  <c r="AE4" i="3"/>
  <c r="AF4" i="3"/>
  <c r="AB4" i="3"/>
  <c r="Z4" i="3"/>
  <c r="W4" i="3"/>
  <c r="V4" i="3"/>
  <c r="M4" i="3"/>
  <c r="N4" i="3"/>
  <c r="O4" i="3"/>
  <c r="P4" i="3"/>
  <c r="R4" i="3"/>
  <c r="I4" i="3"/>
  <c r="J4" i="3"/>
  <c r="L4" i="3"/>
  <c r="K4" i="3"/>
  <c r="D32" i="3"/>
  <c r="D33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5" i="3"/>
  <c r="H27" i="1"/>
  <c r="H28" i="1"/>
  <c r="H26" i="1"/>
  <c r="H6" i="1"/>
  <c r="H25" i="1"/>
  <c r="H24" i="1"/>
  <c r="H23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<sst xmlns="http://schemas.openxmlformats.org/spreadsheetml/2006/main" count="1353" uniqueCount="188">
  <si>
    <t>#</t>
  </si>
  <si>
    <t>List of Leaves</t>
  </si>
  <si>
    <t>Monday, 01 January 2024 - New Year's Day</t>
  </si>
  <si>
    <t>Both Locations</t>
  </si>
  <si>
    <t>Monday, 15 January 2024 – Makar Sakranti</t>
  </si>
  <si>
    <t>Friday, 26 January 2024 - Republic Day**</t>
  </si>
  <si>
    <t>Wednesday, 14 February 2024 - Basant Panchmi</t>
  </si>
  <si>
    <t>Friday, 08 March 2024 - Maha Shivratri</t>
  </si>
  <si>
    <t>Monday , 25 March 2024 - Holi</t>
  </si>
  <si>
    <t>Friday, 29 March 2024 - Good Friday</t>
  </si>
  <si>
    <t>Thursday, 11 April 2024 - Id-Ul-Fitr</t>
  </si>
  <si>
    <t>Wednesday , 17 April 2024 - Ram Navmi</t>
  </si>
  <si>
    <t>Wednesday, 01 May 2024 - May Day</t>
  </si>
  <si>
    <t>Thursday, 23 May 2024 - Buddha Purnima</t>
  </si>
  <si>
    <t>Monday, 17 June 2024 - Id-Ul-Zuha (Bakrid)</t>
  </si>
  <si>
    <t>Wednesday, 17 July 2024 - Muharram</t>
  </si>
  <si>
    <t>Thursday, 15 August 2024 - Independence Day**</t>
  </si>
  <si>
    <t>Monday, 19 August 2024 - Raksha Bandhan</t>
  </si>
  <si>
    <t>Monday, 26 August 2024 - Janmashtami</t>
  </si>
  <si>
    <t>Monday, 02 September 2024 - U.S. Labor Day</t>
  </si>
  <si>
    <t>Monday, 16 September 2024 - Milad-un-Nabi or Id-e Milad</t>
  </si>
  <si>
    <t>Wednesday, 02 October 2024 - Mahatma Gandhi Jayanti**</t>
  </si>
  <si>
    <t>Friday, 11 October 2024 - Maha Navmi</t>
  </si>
  <si>
    <t>Thursday, 31 October 2024 - Diwali</t>
  </si>
  <si>
    <t>Friday, 01 November 2024 - Haryana Day**</t>
  </si>
  <si>
    <t>Friday, 15 November 2024 - Guru Nanak Jayanti</t>
  </si>
  <si>
    <t>Thursday, 28 November 2024 - Thanksgiving Day</t>
  </si>
  <si>
    <t>Wednesday, 25 December 2024 - Christmas Day</t>
  </si>
  <si>
    <t>Please Mark Y for Opted Preferred</t>
  </si>
  <si>
    <t>S. No</t>
  </si>
  <si>
    <t>Emp_Code</t>
  </si>
  <si>
    <t>Employee Name</t>
  </si>
  <si>
    <t>Joining Date</t>
  </si>
  <si>
    <t>Function</t>
  </si>
  <si>
    <t>Reporting Manager</t>
  </si>
  <si>
    <t>Team</t>
  </si>
  <si>
    <t>Total</t>
  </si>
  <si>
    <t>New Year's Day</t>
  </si>
  <si>
    <t>Makar Sakranti</t>
  </si>
  <si>
    <t>Republic Day**</t>
  </si>
  <si>
    <t>Basant Panchmi</t>
  </si>
  <si>
    <t>Maha Shivratri</t>
  </si>
  <si>
    <t>Holi</t>
  </si>
  <si>
    <t>Good Friday</t>
  </si>
  <si>
    <t>Id-Ul-Fitr</t>
  </si>
  <si>
    <t>Ram Navmi</t>
  </si>
  <si>
    <t>May Day</t>
  </si>
  <si>
    <t>Buddha Purnima</t>
  </si>
  <si>
    <t>Id-Ul-Zuha (Bakrid)</t>
  </si>
  <si>
    <t>Muharram</t>
  </si>
  <si>
    <t>Independence Day**</t>
  </si>
  <si>
    <t>Raksha Bandhan</t>
  </si>
  <si>
    <t>Janmashtami</t>
  </si>
  <si>
    <t>U.S. Labor Day</t>
  </si>
  <si>
    <t>Milad-un-Nabi or Id-e Milad</t>
  </si>
  <si>
    <t>Mahatma Gandhi Jayanti**</t>
  </si>
  <si>
    <t>Maha Navmi</t>
  </si>
  <si>
    <t>Diwali</t>
  </si>
  <si>
    <t>Haryana Day</t>
  </si>
  <si>
    <t>Guru Nanak Jayanti</t>
  </si>
  <si>
    <t>Thanksgiving Day</t>
  </si>
  <si>
    <t>Christmas Day</t>
  </si>
  <si>
    <t>Monday</t>
  </si>
  <si>
    <t>Friday</t>
  </si>
  <si>
    <t>Wednesday</t>
  </si>
  <si>
    <t xml:space="preserve">Monday </t>
  </si>
  <si>
    <t>Thursday</t>
  </si>
  <si>
    <t xml:space="preserve">Wednesday </t>
  </si>
  <si>
    <t>Vanshu Gulati</t>
  </si>
  <si>
    <t>Assistant Dir - Data Operations</t>
  </si>
  <si>
    <t>Diego Andocilla</t>
  </si>
  <si>
    <t>Ownership</t>
  </si>
  <si>
    <t>Y</t>
  </si>
  <si>
    <t>Mohd Shamarukh</t>
  </si>
  <si>
    <t xml:space="preserve">Sr. Data Specialist </t>
  </si>
  <si>
    <t>Piyush Upadhyay</t>
  </si>
  <si>
    <t xml:space="preserve">Data Specialist </t>
  </si>
  <si>
    <t>Riddhima Babbar</t>
  </si>
  <si>
    <t>Gautam Bawta</t>
  </si>
  <si>
    <t>Lakshay Bhateja</t>
  </si>
  <si>
    <t>Urvashi Jain</t>
  </si>
  <si>
    <t>Sonal Pilania</t>
  </si>
  <si>
    <t>Papinder Singh</t>
  </si>
  <si>
    <t>Nakul Gupta</t>
  </si>
  <si>
    <t>Akhil Sharma</t>
  </si>
  <si>
    <t>Deepak Yadav</t>
  </si>
  <si>
    <t>Shivam Shrotriya</t>
  </si>
  <si>
    <t>Krati Mangal</t>
  </si>
  <si>
    <t>Yatharth Kale</t>
  </si>
  <si>
    <t>Aayush Tyagi</t>
  </si>
  <si>
    <t>Harshita Srivastva</t>
  </si>
  <si>
    <t>Aashi Rohilla</t>
  </si>
  <si>
    <t>Harsh Gautam</t>
  </si>
  <si>
    <t>Vijay Sengar</t>
  </si>
  <si>
    <t>Ashraf Ali</t>
  </si>
  <si>
    <t>Rachita Jain</t>
  </si>
  <si>
    <t>Soumyaa Chhabra</t>
  </si>
  <si>
    <t>Harsh Dobhal</t>
  </si>
  <si>
    <t>Rajat Arangath Sreedharan</t>
  </si>
  <si>
    <t>Shilpam Shandilya</t>
  </si>
  <si>
    <t>Sattwick Das</t>
  </si>
  <si>
    <t>Vineet Kumar Rohilla</t>
  </si>
  <si>
    <t>Vipul Sharma</t>
  </si>
  <si>
    <t>Saurav Sharma</t>
  </si>
  <si>
    <t>Disha Bedi</t>
  </si>
  <si>
    <t>Maximum Preferred Opted Holidays should not be more than 8</t>
  </si>
  <si>
    <t>Complete list of Holidays</t>
  </si>
  <si>
    <t>Location</t>
  </si>
  <si>
    <t>Both</t>
  </si>
  <si>
    <t>Guru Gobind Singh Jayanti</t>
  </si>
  <si>
    <t>GGN Only</t>
  </si>
  <si>
    <t>Tuesday</t>
  </si>
  <si>
    <t>Makara Sankranti</t>
  </si>
  <si>
    <t>BLR Only</t>
  </si>
  <si>
    <t>Guru Ravidas Jayanti</t>
  </si>
  <si>
    <t>Maha Shivaratri</t>
  </si>
  <si>
    <t>Id-ul-Fitr/Qutub-e-Ramzan</t>
  </si>
  <si>
    <t>Mahaveer Jayanti</t>
  </si>
  <si>
    <t>Ambedkar Jayanti</t>
  </si>
  <si>
    <t>Parshuram Jayanti</t>
  </si>
  <si>
    <t>Basava Jayanti/Akshya Tritya</t>
  </si>
  <si>
    <t>Maharana Pratap Jayanti</t>
  </si>
  <si>
    <t>Sant Kabir Jayanti</t>
  </si>
  <si>
    <t>Shaheed Udham Singh Martyrdom Day</t>
  </si>
  <si>
    <t>Independence Day</t>
  </si>
  <si>
    <t>Ganesh Chaturthi</t>
  </si>
  <si>
    <t>U.S Labour Day</t>
  </si>
  <si>
    <t>Id-Meelad</t>
  </si>
  <si>
    <t>Maharaja Agrasen Jayanti</t>
  </si>
  <si>
    <t>Vishwakarma Jayanti</t>
  </si>
  <si>
    <t>Shaheedi Divas</t>
  </si>
  <si>
    <t>Gandhi Jayanthi</t>
  </si>
  <si>
    <t>Maharishi Valmiki Jayanti</t>
  </si>
  <si>
    <t>Naraka Chaturdasi/Deepavali</t>
  </si>
  <si>
    <t>Deepavali/Goverdhan Pooja</t>
  </si>
  <si>
    <t>Complete list of Holidays (Gurgaon and Delhi)</t>
  </si>
  <si>
    <t>Day</t>
  </si>
  <si>
    <t>Date</t>
  </si>
  <si>
    <t>Holiday</t>
  </si>
  <si>
    <t>Republic Day*</t>
  </si>
  <si>
    <t>Dr. B.R. Ambedkar Jayanti</t>
  </si>
  <si>
    <t>Budhh Purnima*</t>
  </si>
  <si>
    <t>Dates marked with * are mandatory holidays. Employees are provided with a preferred holiday entitlement in WorkWise to select from the other days listed.</t>
  </si>
  <si>
    <t>Id-Ul-zuha (Bakraid)</t>
  </si>
  <si>
    <t>Rath Yatra</t>
  </si>
  <si>
    <t>Gandhi Jayanthi*</t>
  </si>
  <si>
    <t>Dussehra</t>
  </si>
  <si>
    <t>Goverdhan Puja</t>
  </si>
  <si>
    <t>Guru Sign Jayanti</t>
  </si>
  <si>
    <t>Id-ul-Fitr</t>
  </si>
  <si>
    <t>Akshay Tritiya</t>
  </si>
  <si>
    <t>Deepavali</t>
  </si>
  <si>
    <t>Goverdhan Pooja</t>
  </si>
  <si>
    <t>Sr. Data Specialist</t>
  </si>
  <si>
    <t>Data Specialist</t>
  </si>
  <si>
    <t>Azharuddin Quazi</t>
  </si>
  <si>
    <t>Garima Singh</t>
  </si>
  <si>
    <t>Mohit Yadav</t>
  </si>
  <si>
    <t>Vikas Yadav</t>
  </si>
  <si>
    <t>Please Mark "Y" for Opted Preferred</t>
  </si>
  <si>
    <t>Guru Brahmanand Jayanti/ Maharishi Dayanand Saraswati Jayanti</t>
  </si>
  <si>
    <t>Sant Ladhu Nath ji Jayanti</t>
  </si>
  <si>
    <t>Shaheedi Diwas/Martyrdom Day of Bhagat Singh/Rajguru &amp; Sukhdev</t>
  </si>
  <si>
    <t>Sant Dhanna Bhagat Jayanti</t>
  </si>
  <si>
    <t>Shri Guru Teg Bahadur Ji Jayanti</t>
  </si>
  <si>
    <t>Budhh Purnima</t>
  </si>
  <si>
    <t>Maharishi Kayshap Jayanti</t>
  </si>
  <si>
    <t>Veer Banda Bairagi Balidan Diwas</t>
  </si>
  <si>
    <t>Guru Arjan dev's Martyrdom Day</t>
  </si>
  <si>
    <t>Bhai Makhan Shah Labana Jayanti</t>
  </si>
  <si>
    <t>Kavi Baaje Bhagat Jayanti</t>
  </si>
  <si>
    <t>Maharaja Daksh Prajapati Jayanti</t>
  </si>
  <si>
    <t>Milad-un-nabi or Id-e-milad/Shri Guru Jambeshwar Ji Jayanti</t>
  </si>
  <si>
    <t>Bhagwan Vishwakarma Jayanti</t>
  </si>
  <si>
    <t>Haryana War Hero's Martyrdom Day</t>
  </si>
  <si>
    <t>Maharaja Ajmidh Jayanti</t>
  </si>
  <si>
    <t>Karva Chauth</t>
  </si>
  <si>
    <t>Sant Namdev Jayanti</t>
  </si>
  <si>
    <t>Sant Sain Bhagat Maharaj Jayanti</t>
  </si>
  <si>
    <t>Guru Teg Bahadur's Martyrdom Day</t>
  </si>
  <si>
    <t>Relationship - Encoding</t>
  </si>
  <si>
    <t>y</t>
  </si>
  <si>
    <t>Rosine Meunier</t>
  </si>
  <si>
    <t>Relationship - Feeds</t>
  </si>
  <si>
    <t>Matthew O'Gorman</t>
  </si>
  <si>
    <t>Relationship - Entity Resolution</t>
  </si>
  <si>
    <t>Arun Sharma</t>
  </si>
  <si>
    <t>Shivani Tyagi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</si>
</sst>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/mmm/yy;@"/>
    <numFmt numFmtId="166" formatCode="[$-409]d/mmm;@"/>
  </numFmts>
  <fonts count="17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699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F8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6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4" fillId="7" borderId="1" xfId="0" applyNumberFormat="1" applyFont="1" applyFill="1" applyBorder="1" applyAlignment="1">
      <alignment horizontal="center" vertical="center"/>
    </xf>
    <xf numFmtId="15" fontId="4" fillId="7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/>
    <xf numFmtId="15" fontId="3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wrapText="1"/>
    </xf>
    <xf numFmtId="15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0" fillId="0" borderId="3" xfId="0" applyBorder="1"/>
    <xf numFmtId="0" fontId="3" fillId="3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6" xfId="0" applyFill="1" applyBorder="1" applyAlignment="1">
      <alignment horizontal="left"/>
    </xf>
    <xf numFmtId="15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9" borderId="3" xfId="0" applyFill="1" applyBorder="1" applyAlignment="1">
      <alignment horizontal="center"/>
    </xf>
    <xf numFmtId="15" fontId="0" fillId="9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left"/>
    </xf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15" fontId="0" fillId="9" borderId="6" xfId="0" applyNumberFormat="1" applyFill="1" applyBorder="1" applyAlignment="1">
      <alignment horizontal="center"/>
    </xf>
    <xf numFmtId="0" fontId="6" fillId="5" borderId="0" xfId="0" applyFont="1" applyFill="1" applyAlignment="1">
      <alignment wrapText="1"/>
    </xf>
    <xf numFmtId="165" fontId="8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3" fillId="3" borderId="9" xfId="0" applyFont="1" applyFill="1" applyBorder="1"/>
    <xf numFmtId="0" fontId="3" fillId="3" borderId="15" xfId="0" applyFont="1" applyFill="1" applyBorder="1"/>
    <xf numFmtId="15" fontId="8" fillId="7" borderId="1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3" fillId="3" borderId="0" xfId="0" applyFont="1" applyFill="1" applyAlignment="1">
      <alignment horizontal="center"/>
    </xf>
    <xf numFmtId="0" fontId="3" fillId="3" borderId="17" xfId="0" applyFont="1" applyFill="1" applyBorder="1" applyAlignment="1">
      <alignment horizontal="center"/>
    </xf>
    <xf numFmtId="15" fontId="8" fillId="7" borderId="4" xfId="0" applyNumberFormat="1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0" fillId="12" borderId="1" xfId="0" applyFill="1" applyBorder="1"/>
    <xf numFmtId="166" fontId="0" fillId="12" borderId="1" xfId="0" applyNumberFormat="1" applyFill="1" applyBorder="1"/>
    <xf numFmtId="0" fontId="0" fillId="13" borderId="1" xfId="0" applyFill="1" applyBorder="1"/>
    <xf numFmtId="166" fontId="0" fillId="13" borderId="1" xfId="0" applyNumberFormat="1" applyFill="1" applyBorder="1"/>
    <xf numFmtId="0" fontId="0" fillId="14" borderId="1" xfId="0" applyFill="1" applyBorder="1"/>
    <xf numFmtId="166" fontId="0" fillId="14" borderId="1" xfId="0" applyNumberFormat="1" applyFill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5" fontId="12" fillId="0" borderId="1" xfId="0" applyNumberFormat="1" applyFont="1" applyBorder="1" applyAlignment="1">
      <alignment horizontal="center"/>
    </xf>
    <xf numFmtId="0" fontId="12" fillId="0" borderId="13" xfId="0" applyFont="1" applyBorder="1"/>
    <xf numFmtId="0" fontId="13" fillId="0" borderId="1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2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15" fontId="13" fillId="0" borderId="3" xfId="0" applyNumberFormat="1" applyFont="1" applyBorder="1" applyAlignment="1">
      <alignment horizontal="center"/>
    </xf>
    <xf numFmtId="0" fontId="12" fillId="0" borderId="3" xfId="0" applyFont="1" applyBorder="1"/>
    <xf numFmtId="0" fontId="12" fillId="0" borderId="15" xfId="0" applyFont="1" applyBorder="1"/>
    <xf numFmtId="0" fontId="12" fillId="0" borderId="1" xfId="0" applyFont="1" applyBorder="1" applyAlignment="1">
      <alignment wrapText="1"/>
    </xf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10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indent="1"/>
    </xf>
    <xf numFmtId="15" fontId="8" fillId="16" borderId="3" xfId="0" applyNumberFormat="1" applyFont="1" applyFill="1" applyBorder="1" applyAlignment="1">
      <alignment horizontal="center" vertical="center"/>
    </xf>
    <xf numFmtId="15" fontId="8" fillId="16" borderId="31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15" fontId="3" fillId="3" borderId="5" xfId="0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15" fontId="3" fillId="3" borderId="2" xfId="0" applyNumberFormat="1" applyFont="1" applyFill="1" applyBorder="1" applyAlignment="1">
      <alignment horizontal="center" vertical="center"/>
    </xf>
    <xf numFmtId="15" fontId="3" fillId="3" borderId="6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5" fontId="0" fillId="9" borderId="6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15" fontId="0" fillId="9" borderId="3" xfId="0" applyNumberForma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15" fontId="8" fillId="16" borderId="4" xfId="0" applyNumberFormat="1" applyFont="1" applyFill="1" applyBorder="1" applyAlignment="1">
      <alignment horizontal="left" vertical="center"/>
    </xf>
    <xf numFmtId="15" fontId="8" fillId="16" borderId="18" xfId="0" applyNumberFormat="1" applyFont="1" applyFill="1" applyBorder="1" applyAlignment="1">
      <alignment horizontal="left" vertical="center"/>
    </xf>
    <xf numFmtId="15" fontId="8" fillId="16" borderId="1" xfId="0" applyNumberFormat="1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164" fontId="8" fillId="16" borderId="1" xfId="0" applyNumberFormat="1" applyFont="1" applyFill="1" applyBorder="1" applyAlignment="1">
      <alignment horizontal="left" vertical="center" indent="1"/>
    </xf>
    <xf numFmtId="164" fontId="8" fillId="15" borderId="1" xfId="0" applyNumberFormat="1" applyFont="1" applyFill="1" applyBorder="1" applyAlignment="1">
      <alignment horizontal="left" vertical="center" indent="1"/>
    </xf>
    <xf numFmtId="0" fontId="9" fillId="16" borderId="6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left"/>
    </xf>
    <xf numFmtId="0" fontId="11" fillId="11" borderId="23" xfId="0" applyFont="1" applyFill="1" applyBorder="1" applyAlignment="1">
      <alignment horizontal="left"/>
    </xf>
    <xf numFmtId="0" fontId="11" fillId="11" borderId="24" xfId="0" applyFont="1" applyFill="1" applyBorder="1" applyAlignment="1">
      <alignment horizontal="left"/>
    </xf>
    <xf numFmtId="0" fontId="9" fillId="16" borderId="3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28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6" fillId="11" borderId="29" xfId="0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 vertical="center" wrapText="1"/>
    </xf>
    <xf numFmtId="0" fontId="16" fillId="11" borderId="30" xfId="0" applyFont="1" applyFill="1" applyBorder="1" applyAlignment="1">
      <alignment horizontal="center" vertical="center" wrapText="1"/>
    </xf>
    <xf numFmtId="0" fontId="16" fillId="11" borderId="27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991"/>
      <color rgb="FFBF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FE41-33C4-40D0-A955-5C61C7CD5D53}">
  <dimension ref="A1:C26"/>
  <sheetViews>
    <sheetView topLeftCell="A22" workbookViewId="0">
      <selection activeCell="C2" sqref="C2"/>
    </sheetView>
  </sheetViews>
  <sheetFormatPr defaultRowHeight="14.45"/>
  <cols>
    <col min="1" max="1" width="9" customWidth="1"/>
    <col min="2" max="2" width="53.42578125" bestFit="1" customWidth="1"/>
    <col min="3" max="3" width="14" bestFit="1" customWidth="1"/>
  </cols>
  <sheetData>
    <row r="1" spans="1:3">
      <c r="A1" s="10" t="s">
        <v>0</v>
      </c>
      <c r="B1" s="10" t="s">
        <v>1</v>
      </c>
    </row>
    <row r="2" spans="1:3">
      <c r="A2" s="11">
        <v>1</v>
      </c>
      <c r="B2" s="13" t="s">
        <v>2</v>
      </c>
      <c r="C2" s="12" t="s">
        <v>3</v>
      </c>
    </row>
    <row r="3" spans="1:3">
      <c r="A3" s="11">
        <v>2</v>
      </c>
      <c r="B3" s="14" t="s">
        <v>4</v>
      </c>
      <c r="C3" s="11"/>
    </row>
    <row r="4" spans="1:3">
      <c r="A4" s="11">
        <v>3</v>
      </c>
      <c r="B4" s="13" t="s">
        <v>5</v>
      </c>
      <c r="C4" s="12" t="s">
        <v>3</v>
      </c>
    </row>
    <row r="5" spans="1:3">
      <c r="A5" s="11">
        <v>4</v>
      </c>
      <c r="B5" s="14" t="s">
        <v>6</v>
      </c>
      <c r="C5" s="11"/>
    </row>
    <row r="6" spans="1:3">
      <c r="A6" s="11">
        <v>5</v>
      </c>
      <c r="B6" s="14" t="s">
        <v>7</v>
      </c>
      <c r="C6" s="11"/>
    </row>
    <row r="7" spans="1:3">
      <c r="A7" s="11">
        <v>6</v>
      </c>
      <c r="B7" s="14" t="s">
        <v>8</v>
      </c>
      <c r="C7" s="11"/>
    </row>
    <row r="8" spans="1:3">
      <c r="A8" s="11">
        <v>7</v>
      </c>
      <c r="B8" s="14" t="s">
        <v>9</v>
      </c>
      <c r="C8" s="11"/>
    </row>
    <row r="9" spans="1:3">
      <c r="A9" s="11">
        <v>8</v>
      </c>
      <c r="B9" s="14" t="s">
        <v>10</v>
      </c>
      <c r="C9" s="11"/>
    </row>
    <row r="10" spans="1:3">
      <c r="A10" s="11">
        <v>9</v>
      </c>
      <c r="B10" s="14" t="s">
        <v>11</v>
      </c>
      <c r="C10" s="11"/>
    </row>
    <row r="11" spans="1:3">
      <c r="A11" s="11">
        <v>10</v>
      </c>
      <c r="B11" s="14" t="s">
        <v>12</v>
      </c>
      <c r="C11" s="11"/>
    </row>
    <row r="12" spans="1:3">
      <c r="A12" s="11">
        <v>11</v>
      </c>
      <c r="B12" s="14" t="s">
        <v>13</v>
      </c>
      <c r="C12" s="11"/>
    </row>
    <row r="13" spans="1:3">
      <c r="A13" s="11">
        <v>12</v>
      </c>
      <c r="B13" s="14" t="s">
        <v>14</v>
      </c>
      <c r="C13" s="11"/>
    </row>
    <row r="14" spans="1:3">
      <c r="A14" s="11">
        <v>13</v>
      </c>
      <c r="B14" s="14" t="s">
        <v>15</v>
      </c>
      <c r="C14" s="11"/>
    </row>
    <row r="15" spans="1:3">
      <c r="A15" s="11">
        <v>14</v>
      </c>
      <c r="B15" s="13" t="s">
        <v>16</v>
      </c>
      <c r="C15" s="12" t="s">
        <v>3</v>
      </c>
    </row>
    <row r="16" spans="1:3">
      <c r="A16" s="11">
        <v>15</v>
      </c>
      <c r="B16" s="14" t="s">
        <v>17</v>
      </c>
      <c r="C16" s="11"/>
    </row>
    <row r="17" spans="1:3">
      <c r="A17" s="11">
        <v>16</v>
      </c>
      <c r="B17" s="14" t="s">
        <v>18</v>
      </c>
      <c r="C17" s="11"/>
    </row>
    <row r="18" spans="1:3">
      <c r="A18" s="11">
        <v>17</v>
      </c>
      <c r="B18" s="14" t="s">
        <v>19</v>
      </c>
      <c r="C18" s="11"/>
    </row>
    <row r="19" spans="1:3">
      <c r="A19" s="11">
        <v>18</v>
      </c>
      <c r="B19" s="14" t="s">
        <v>20</v>
      </c>
      <c r="C19" s="11"/>
    </row>
    <row r="20" spans="1:3">
      <c r="A20" s="11">
        <v>19</v>
      </c>
      <c r="B20" s="13" t="s">
        <v>21</v>
      </c>
      <c r="C20" s="12" t="s">
        <v>3</v>
      </c>
    </row>
    <row r="21" spans="1:3">
      <c r="A21" s="11">
        <v>20</v>
      </c>
      <c r="B21" s="14" t="s">
        <v>22</v>
      </c>
      <c r="C21" s="11"/>
    </row>
    <row r="22" spans="1:3">
      <c r="A22" s="11">
        <v>21</v>
      </c>
      <c r="B22" s="14" t="s">
        <v>23</v>
      </c>
      <c r="C22" s="11"/>
    </row>
    <row r="23" spans="1:3">
      <c r="A23" s="11">
        <v>22</v>
      </c>
      <c r="B23" s="14" t="s">
        <v>24</v>
      </c>
      <c r="C23" s="12"/>
    </row>
    <row r="24" spans="1:3">
      <c r="A24" s="11">
        <v>23</v>
      </c>
      <c r="B24" s="14" t="s">
        <v>25</v>
      </c>
      <c r="C24" s="11"/>
    </row>
    <row r="25" spans="1:3">
      <c r="A25" s="11">
        <v>24</v>
      </c>
      <c r="B25" s="14" t="s">
        <v>26</v>
      </c>
      <c r="C25" s="11"/>
    </row>
    <row r="26" spans="1:3">
      <c r="A26" s="11">
        <v>25</v>
      </c>
      <c r="B26" s="14" t="s">
        <v>27</v>
      </c>
      <c r="C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3D97-3BCC-4093-92B9-E43E08649CB8}">
  <dimension ref="A1:AG37"/>
  <sheetViews>
    <sheetView zoomScaleNormal="100" workbookViewId="0">
      <pane xSplit="3" ySplit="5" topLeftCell="D6" activePane="bottomRight" state="frozen"/>
      <selection pane="bottomRight" activeCell="B1" sqref="B1"/>
      <selection pane="bottomLeft" activeCell="A17" sqref="A17"/>
      <selection pane="topRight"/>
    </sheetView>
  </sheetViews>
  <sheetFormatPr defaultRowHeight="14.45"/>
  <cols>
    <col min="1" max="1" width="5.85546875" bestFit="1" customWidth="1"/>
    <col min="2" max="2" width="16.42578125" customWidth="1"/>
    <col min="3" max="3" width="19.28515625" customWidth="1"/>
    <col min="4" max="4" width="12" customWidth="1"/>
    <col min="5" max="5" width="26.5703125" customWidth="1"/>
    <col min="6" max="6" width="18.5703125" customWidth="1"/>
    <col min="7" max="7" width="11" customWidth="1"/>
    <col min="8" max="8" width="16.140625" customWidth="1"/>
    <col min="9" max="9" width="12.5703125" customWidth="1"/>
    <col min="10" max="10" width="14.85546875" bestFit="1" customWidth="1"/>
    <col min="11" max="11" width="13.5703125" bestFit="1" customWidth="1"/>
    <col min="12" max="12" width="15.85546875" bestFit="1" customWidth="1"/>
    <col min="13" max="13" width="14.42578125" bestFit="1" customWidth="1"/>
    <col min="14" max="14" width="12.42578125" customWidth="1"/>
    <col min="15" max="15" width="12.140625" bestFit="1" customWidth="1"/>
    <col min="16" max="16" width="11" customWidth="1"/>
    <col min="17" max="17" width="11.42578125" bestFit="1" customWidth="1"/>
    <col min="18" max="18" width="9.85546875" bestFit="1" customWidth="1"/>
    <col min="19" max="19" width="16.42578125" bestFit="1" customWidth="1"/>
    <col min="20" max="20" width="18" bestFit="1" customWidth="1"/>
    <col min="21" max="21" width="11.7109375" customWidth="1"/>
    <col min="22" max="22" width="19.7109375" bestFit="1" customWidth="1"/>
    <col min="23" max="23" width="16.42578125" bestFit="1" customWidth="1"/>
    <col min="24" max="24" width="13.28515625" bestFit="1" customWidth="1"/>
    <col min="25" max="25" width="14.7109375" bestFit="1" customWidth="1"/>
    <col min="26" max="26" width="26.140625" bestFit="1" customWidth="1"/>
    <col min="27" max="27" width="25.7109375" bestFit="1" customWidth="1"/>
    <col min="28" max="28" width="13.28515625" customWidth="1"/>
    <col min="29" max="29" width="10.7109375" customWidth="1"/>
    <col min="30" max="30" width="14.140625" bestFit="1" customWidth="1"/>
    <col min="31" max="31" width="18.140625" bestFit="1" customWidth="1"/>
    <col min="32" max="32" width="17.28515625" bestFit="1" customWidth="1"/>
    <col min="33" max="33" width="14" bestFit="1" customWidth="1"/>
  </cols>
  <sheetData>
    <row r="1" spans="1:33" ht="23.45">
      <c r="B1" s="1" t="s">
        <v>28</v>
      </c>
    </row>
    <row r="3" spans="1:33">
      <c r="A3" s="155" t="s">
        <v>29</v>
      </c>
      <c r="B3" s="156" t="s">
        <v>30</v>
      </c>
      <c r="C3" s="152" t="s">
        <v>31</v>
      </c>
      <c r="D3" s="152" t="s">
        <v>32</v>
      </c>
      <c r="E3" s="152" t="s">
        <v>33</v>
      </c>
      <c r="F3" s="152" t="s">
        <v>34</v>
      </c>
      <c r="G3" s="152" t="s">
        <v>35</v>
      </c>
      <c r="H3" s="152" t="s">
        <v>36</v>
      </c>
      <c r="I3" s="16">
        <v>45292</v>
      </c>
      <c r="J3" s="8">
        <v>45306</v>
      </c>
      <c r="K3" s="15">
        <v>45317</v>
      </c>
      <c r="L3" s="8">
        <v>45336</v>
      </c>
      <c r="M3" s="8">
        <v>45359</v>
      </c>
      <c r="N3" s="8">
        <v>45376</v>
      </c>
      <c r="O3" s="8">
        <v>45380</v>
      </c>
      <c r="P3" s="8">
        <v>45393</v>
      </c>
      <c r="Q3" s="8">
        <v>45399</v>
      </c>
      <c r="R3" s="8">
        <v>45413</v>
      </c>
      <c r="S3" s="8">
        <v>45435</v>
      </c>
      <c r="T3" s="8">
        <v>45460</v>
      </c>
      <c r="U3" s="8">
        <v>45490</v>
      </c>
      <c r="V3" s="15">
        <v>45519</v>
      </c>
      <c r="W3" s="8">
        <v>45523</v>
      </c>
      <c r="X3" s="8">
        <v>45530</v>
      </c>
      <c r="Y3" s="8">
        <v>45537</v>
      </c>
      <c r="Z3" s="8">
        <v>45551</v>
      </c>
      <c r="AA3" s="15">
        <v>45567</v>
      </c>
      <c r="AB3" s="8">
        <v>45576</v>
      </c>
      <c r="AC3" s="8">
        <v>45596</v>
      </c>
      <c r="AD3" s="8">
        <v>45597</v>
      </c>
      <c r="AE3" s="8">
        <v>45611</v>
      </c>
      <c r="AF3" s="8">
        <v>45624</v>
      </c>
      <c r="AG3" s="8">
        <v>45651</v>
      </c>
    </row>
    <row r="4" spans="1:33" ht="37.5" customHeight="1">
      <c r="A4" s="155"/>
      <c r="B4" s="157"/>
      <c r="C4" s="153"/>
      <c r="D4" s="153"/>
      <c r="E4" s="153"/>
      <c r="F4" s="153"/>
      <c r="G4" s="153"/>
      <c r="H4" s="153"/>
      <c r="I4" s="16" t="s">
        <v>37</v>
      </c>
      <c r="J4" s="9" t="s">
        <v>38</v>
      </c>
      <c r="K4" s="15" t="s">
        <v>39</v>
      </c>
      <c r="L4" s="9" t="s">
        <v>40</v>
      </c>
      <c r="M4" s="9" t="s">
        <v>41</v>
      </c>
      <c r="N4" s="9" t="s">
        <v>42</v>
      </c>
      <c r="O4" s="9" t="s">
        <v>43</v>
      </c>
      <c r="P4" s="9" t="s">
        <v>44</v>
      </c>
      <c r="Q4" s="9" t="s">
        <v>45</v>
      </c>
      <c r="R4" s="9" t="s">
        <v>46</v>
      </c>
      <c r="S4" s="9" t="s">
        <v>47</v>
      </c>
      <c r="T4" s="9" t="s">
        <v>48</v>
      </c>
      <c r="U4" s="9" t="s">
        <v>49</v>
      </c>
      <c r="V4" s="15" t="s">
        <v>50</v>
      </c>
      <c r="W4" s="9" t="s">
        <v>51</v>
      </c>
      <c r="X4" s="8" t="s">
        <v>52</v>
      </c>
      <c r="Y4" s="8" t="s">
        <v>53</v>
      </c>
      <c r="Z4" s="8" t="s">
        <v>54</v>
      </c>
      <c r="AA4" s="15" t="s">
        <v>55</v>
      </c>
      <c r="AB4" s="8" t="s">
        <v>56</v>
      </c>
      <c r="AC4" s="8" t="s">
        <v>57</v>
      </c>
      <c r="AD4" s="8" t="s">
        <v>58</v>
      </c>
      <c r="AE4" s="8" t="s">
        <v>59</v>
      </c>
      <c r="AF4" s="8" t="s">
        <v>60</v>
      </c>
      <c r="AG4" s="8" t="s">
        <v>61</v>
      </c>
    </row>
    <row r="5" spans="1:33" ht="16.5" customHeight="1">
      <c r="A5" s="155"/>
      <c r="B5" s="158"/>
      <c r="C5" s="154"/>
      <c r="D5" s="154"/>
      <c r="E5" s="154"/>
      <c r="F5" s="154"/>
      <c r="G5" s="154"/>
      <c r="H5" s="154"/>
      <c r="I5" s="16" t="s">
        <v>62</v>
      </c>
      <c r="J5" s="9" t="s">
        <v>62</v>
      </c>
      <c r="K5" s="15" t="s">
        <v>63</v>
      </c>
      <c r="L5" s="9" t="s">
        <v>64</v>
      </c>
      <c r="M5" s="9" t="s">
        <v>63</v>
      </c>
      <c r="N5" s="9" t="s">
        <v>65</v>
      </c>
      <c r="O5" s="9" t="s">
        <v>63</v>
      </c>
      <c r="P5" s="9" t="s">
        <v>66</v>
      </c>
      <c r="Q5" s="9" t="s">
        <v>67</v>
      </c>
      <c r="R5" s="9" t="s">
        <v>64</v>
      </c>
      <c r="S5" s="9" t="s">
        <v>66</v>
      </c>
      <c r="T5" s="9" t="s">
        <v>62</v>
      </c>
      <c r="U5" s="9" t="s">
        <v>64</v>
      </c>
      <c r="V5" s="15" t="s">
        <v>66</v>
      </c>
      <c r="W5" s="8" t="s">
        <v>62</v>
      </c>
      <c r="X5" s="8" t="s">
        <v>62</v>
      </c>
      <c r="Y5" s="8" t="s">
        <v>62</v>
      </c>
      <c r="Z5" s="8" t="s">
        <v>62</v>
      </c>
      <c r="AA5" s="15" t="s">
        <v>64</v>
      </c>
      <c r="AB5" s="8" t="s">
        <v>63</v>
      </c>
      <c r="AC5" s="8" t="s">
        <v>66</v>
      </c>
      <c r="AD5" s="8" t="s">
        <v>63</v>
      </c>
      <c r="AE5" s="8" t="s">
        <v>63</v>
      </c>
      <c r="AF5" s="8" t="s">
        <v>66</v>
      </c>
      <c r="AG5" s="8" t="s">
        <v>64</v>
      </c>
    </row>
    <row r="6" spans="1:33">
      <c r="A6" s="17">
        <v>1</v>
      </c>
      <c r="B6" s="17">
        <v>29030504</v>
      </c>
      <c r="C6" s="18" t="s">
        <v>68</v>
      </c>
      <c r="D6" s="19">
        <v>42772</v>
      </c>
      <c r="E6" s="18" t="s">
        <v>69</v>
      </c>
      <c r="F6" s="18" t="s">
        <v>70</v>
      </c>
      <c r="G6" s="18" t="s">
        <v>71</v>
      </c>
      <c r="H6" s="17">
        <f>COUNTA(I6:AG6)</f>
        <v>8</v>
      </c>
      <c r="I6" s="6" t="s">
        <v>72</v>
      </c>
      <c r="J6" s="7"/>
      <c r="K6" s="6" t="s">
        <v>72</v>
      </c>
      <c r="L6" s="20"/>
      <c r="M6" s="20"/>
      <c r="N6" s="20" t="s">
        <v>72</v>
      </c>
      <c r="O6" s="20"/>
      <c r="P6" s="20"/>
      <c r="Q6" s="7"/>
      <c r="R6" s="7"/>
      <c r="S6" s="7"/>
      <c r="T6" s="7"/>
      <c r="U6" s="7"/>
      <c r="V6" s="6" t="s">
        <v>72</v>
      </c>
      <c r="W6" s="20" t="s">
        <v>72</v>
      </c>
      <c r="X6" s="7"/>
      <c r="Y6" s="7"/>
      <c r="Z6" s="7"/>
      <c r="AA6" s="6" t="s">
        <v>72</v>
      </c>
      <c r="AB6" s="20"/>
      <c r="AC6" s="20" t="s">
        <v>72</v>
      </c>
      <c r="AD6" s="20"/>
      <c r="AE6" s="20"/>
      <c r="AF6" s="20" t="s">
        <v>72</v>
      </c>
      <c r="AG6" s="20"/>
    </row>
    <row r="7" spans="1:33">
      <c r="A7" s="2">
        <v>2</v>
      </c>
      <c r="B7" s="2">
        <v>29060144</v>
      </c>
      <c r="C7" s="3" t="s">
        <v>73</v>
      </c>
      <c r="D7" s="4">
        <v>44774</v>
      </c>
      <c r="E7" s="3" t="s">
        <v>74</v>
      </c>
      <c r="F7" s="3" t="s">
        <v>68</v>
      </c>
      <c r="G7" s="3" t="s">
        <v>71</v>
      </c>
      <c r="H7" s="17">
        <f t="shared" ref="H7:H28" si="0">COUNTA(I7:AG7)</f>
        <v>8</v>
      </c>
      <c r="I7" s="6" t="s">
        <v>72</v>
      </c>
      <c r="J7" s="7"/>
      <c r="K7" s="6" t="s">
        <v>72</v>
      </c>
      <c r="L7" s="20"/>
      <c r="M7" s="20"/>
      <c r="N7" s="20"/>
      <c r="O7" s="20"/>
      <c r="P7" s="20" t="s">
        <v>72</v>
      </c>
      <c r="Q7" s="7"/>
      <c r="R7" s="7"/>
      <c r="S7" s="7"/>
      <c r="T7" s="7" t="s">
        <v>72</v>
      </c>
      <c r="U7" s="7"/>
      <c r="V7" s="6" t="s">
        <v>72</v>
      </c>
      <c r="W7" s="7"/>
      <c r="X7" s="7"/>
      <c r="Y7" s="7"/>
      <c r="Z7" s="20" t="s">
        <v>72</v>
      </c>
      <c r="AA7" s="6" t="s">
        <v>72</v>
      </c>
      <c r="AB7" s="20"/>
      <c r="AC7" s="20" t="s">
        <v>72</v>
      </c>
      <c r="AD7" s="7"/>
      <c r="AE7" s="20"/>
      <c r="AF7" s="7"/>
      <c r="AG7" s="20"/>
    </row>
    <row r="8" spans="1:33">
      <c r="A8" s="2">
        <v>3</v>
      </c>
      <c r="B8" s="2">
        <v>29060183</v>
      </c>
      <c r="C8" s="3" t="s">
        <v>75</v>
      </c>
      <c r="D8" s="4">
        <v>44767</v>
      </c>
      <c r="E8" s="3" t="s">
        <v>76</v>
      </c>
      <c r="F8" s="3" t="s">
        <v>73</v>
      </c>
      <c r="G8" s="3" t="s">
        <v>71</v>
      </c>
      <c r="H8" s="17">
        <f t="shared" si="0"/>
        <v>8</v>
      </c>
      <c r="I8" s="6" t="s">
        <v>72</v>
      </c>
      <c r="J8" s="7"/>
      <c r="K8" s="6" t="s">
        <v>72</v>
      </c>
      <c r="L8" s="20"/>
      <c r="M8" s="20"/>
      <c r="N8" s="20"/>
      <c r="O8" s="20"/>
      <c r="P8" s="20"/>
      <c r="Q8" s="7"/>
      <c r="R8" s="7"/>
      <c r="S8" s="7"/>
      <c r="T8" s="7"/>
      <c r="U8" s="7"/>
      <c r="V8" s="6" t="s">
        <v>72</v>
      </c>
      <c r="W8" s="7"/>
      <c r="X8" s="20" t="s">
        <v>72</v>
      </c>
      <c r="Y8" s="7"/>
      <c r="Z8" s="7"/>
      <c r="AA8" s="6" t="s">
        <v>72</v>
      </c>
      <c r="AB8" s="20" t="s">
        <v>72</v>
      </c>
      <c r="AC8" s="20" t="s">
        <v>72</v>
      </c>
      <c r="AD8" s="20" t="s">
        <v>72</v>
      </c>
      <c r="AE8" s="20"/>
      <c r="AF8" s="7"/>
      <c r="AG8" s="20"/>
    </row>
    <row r="9" spans="1:33">
      <c r="A9" s="2">
        <v>4</v>
      </c>
      <c r="B9" s="2">
        <v>29059775</v>
      </c>
      <c r="C9" s="3" t="s">
        <v>77</v>
      </c>
      <c r="D9" s="4">
        <v>44781</v>
      </c>
      <c r="E9" s="3" t="s">
        <v>76</v>
      </c>
      <c r="F9" s="3" t="s">
        <v>78</v>
      </c>
      <c r="G9" s="3" t="s">
        <v>71</v>
      </c>
      <c r="H9" s="17">
        <f t="shared" si="0"/>
        <v>8</v>
      </c>
      <c r="I9" s="6" t="s">
        <v>72</v>
      </c>
      <c r="J9" s="7"/>
      <c r="K9" s="6" t="s">
        <v>72</v>
      </c>
      <c r="L9" s="20"/>
      <c r="M9" s="20"/>
      <c r="N9" s="20" t="s">
        <v>72</v>
      </c>
      <c r="O9" s="20"/>
      <c r="P9" s="20"/>
      <c r="Q9" s="7"/>
      <c r="R9" s="7"/>
      <c r="S9" s="7"/>
      <c r="T9" s="7"/>
      <c r="U9" s="7"/>
      <c r="V9" s="6" t="s">
        <v>72</v>
      </c>
      <c r="W9" s="20" t="s">
        <v>72</v>
      </c>
      <c r="X9" s="7"/>
      <c r="Y9" s="7"/>
      <c r="Z9" s="7"/>
      <c r="AA9" s="6" t="s">
        <v>72</v>
      </c>
      <c r="AB9" s="20"/>
      <c r="AC9" s="20" t="s">
        <v>72</v>
      </c>
      <c r="AD9" s="7"/>
      <c r="AE9" s="20"/>
      <c r="AF9" s="7"/>
      <c r="AG9" s="20" t="s">
        <v>72</v>
      </c>
    </row>
    <row r="10" spans="1:33">
      <c r="A10" s="2">
        <v>5</v>
      </c>
      <c r="B10" s="2">
        <v>29059889</v>
      </c>
      <c r="C10" s="3" t="s">
        <v>78</v>
      </c>
      <c r="D10" s="4">
        <v>44795</v>
      </c>
      <c r="E10" s="3" t="s">
        <v>74</v>
      </c>
      <c r="F10" s="3" t="s">
        <v>68</v>
      </c>
      <c r="G10" s="3" t="s">
        <v>71</v>
      </c>
      <c r="H10" s="17">
        <f t="shared" si="0"/>
        <v>8</v>
      </c>
      <c r="I10" s="6" t="s">
        <v>72</v>
      </c>
      <c r="J10" s="7"/>
      <c r="K10" s="6" t="s">
        <v>72</v>
      </c>
      <c r="L10" s="20"/>
      <c r="M10" s="20" t="s">
        <v>72</v>
      </c>
      <c r="N10" s="20" t="s">
        <v>72</v>
      </c>
      <c r="O10" s="20"/>
      <c r="P10" s="20"/>
      <c r="Q10" s="7"/>
      <c r="R10" s="7"/>
      <c r="S10" s="7"/>
      <c r="T10" s="7"/>
      <c r="U10" s="7"/>
      <c r="V10" s="6" t="s">
        <v>72</v>
      </c>
      <c r="W10" s="20" t="s">
        <v>72</v>
      </c>
      <c r="X10" s="7"/>
      <c r="Y10" s="7"/>
      <c r="Z10" s="7"/>
      <c r="AA10" s="6" t="s">
        <v>72</v>
      </c>
      <c r="AB10" s="20"/>
      <c r="AC10" s="20" t="s">
        <v>72</v>
      </c>
      <c r="AD10" s="7"/>
      <c r="AE10" s="20"/>
      <c r="AF10" s="7"/>
      <c r="AG10" s="20"/>
    </row>
    <row r="11" spans="1:33">
      <c r="A11" s="2">
        <v>6</v>
      </c>
      <c r="B11" s="2">
        <v>29061449</v>
      </c>
      <c r="C11" s="3" t="s">
        <v>79</v>
      </c>
      <c r="D11" s="4">
        <v>44834</v>
      </c>
      <c r="E11" s="3" t="s">
        <v>76</v>
      </c>
      <c r="F11" s="3" t="s">
        <v>68</v>
      </c>
      <c r="G11" s="3" t="s">
        <v>71</v>
      </c>
      <c r="H11" s="17">
        <f t="shared" si="0"/>
        <v>8</v>
      </c>
      <c r="I11" s="6" t="s">
        <v>72</v>
      </c>
      <c r="J11" s="7"/>
      <c r="K11" s="6" t="s">
        <v>72</v>
      </c>
      <c r="L11" s="20" t="s">
        <v>72</v>
      </c>
      <c r="M11" s="20"/>
      <c r="N11" s="20" t="s">
        <v>72</v>
      </c>
      <c r="O11" s="20"/>
      <c r="P11" s="20"/>
      <c r="Q11" s="7"/>
      <c r="R11" s="7"/>
      <c r="S11" s="7"/>
      <c r="T11" s="7"/>
      <c r="U11" s="7"/>
      <c r="V11" s="6" t="s">
        <v>72</v>
      </c>
      <c r="W11" s="20" t="s">
        <v>72</v>
      </c>
      <c r="X11" s="7"/>
      <c r="Y11" s="7"/>
      <c r="Z11" s="7"/>
      <c r="AA11" s="6" t="s">
        <v>72</v>
      </c>
      <c r="AB11" s="20"/>
      <c r="AC11" s="20" t="s">
        <v>72</v>
      </c>
      <c r="AD11" s="7"/>
      <c r="AE11" s="20"/>
      <c r="AF11" s="7"/>
      <c r="AG11" s="20"/>
    </row>
    <row r="12" spans="1:33">
      <c r="A12" s="2">
        <v>7</v>
      </c>
      <c r="B12" s="2">
        <v>29061549</v>
      </c>
      <c r="C12" s="5" t="s">
        <v>80</v>
      </c>
      <c r="D12" s="4">
        <v>44851</v>
      </c>
      <c r="E12" s="3" t="s">
        <v>76</v>
      </c>
      <c r="F12" s="3" t="s">
        <v>68</v>
      </c>
      <c r="G12" s="3" t="s">
        <v>71</v>
      </c>
      <c r="H12" s="17">
        <f t="shared" si="0"/>
        <v>8</v>
      </c>
      <c r="I12" s="6" t="s">
        <v>72</v>
      </c>
      <c r="J12" s="7"/>
      <c r="K12" s="6" t="s">
        <v>72</v>
      </c>
      <c r="L12" s="20"/>
      <c r="M12" s="20" t="s">
        <v>72</v>
      </c>
      <c r="N12" s="20" t="s">
        <v>72</v>
      </c>
      <c r="O12" s="20"/>
      <c r="P12" s="20"/>
      <c r="Q12" s="7"/>
      <c r="R12" s="7"/>
      <c r="S12" s="7"/>
      <c r="T12" s="7"/>
      <c r="U12" s="7"/>
      <c r="V12" s="6" t="s">
        <v>72</v>
      </c>
      <c r="W12" s="20" t="s">
        <v>72</v>
      </c>
      <c r="X12" s="7"/>
      <c r="Y12" s="7"/>
      <c r="Z12" s="7"/>
      <c r="AA12" s="6" t="s">
        <v>72</v>
      </c>
      <c r="AB12" s="20"/>
      <c r="AC12" s="20" t="s">
        <v>72</v>
      </c>
      <c r="AD12" s="7"/>
      <c r="AE12" s="20"/>
      <c r="AF12" s="7"/>
      <c r="AG12" s="20"/>
    </row>
    <row r="13" spans="1:33">
      <c r="A13" s="2">
        <v>8</v>
      </c>
      <c r="B13" s="2">
        <v>29062478</v>
      </c>
      <c r="C13" s="5" t="s">
        <v>81</v>
      </c>
      <c r="D13" s="4">
        <v>44900</v>
      </c>
      <c r="E13" s="3" t="s">
        <v>76</v>
      </c>
      <c r="F13" s="3" t="s">
        <v>68</v>
      </c>
      <c r="G13" s="3" t="s">
        <v>71</v>
      </c>
      <c r="H13" s="17">
        <f t="shared" si="0"/>
        <v>8</v>
      </c>
      <c r="I13" s="6" t="s">
        <v>72</v>
      </c>
      <c r="J13" s="7"/>
      <c r="K13" s="6" t="s">
        <v>72</v>
      </c>
      <c r="L13" s="20"/>
      <c r="M13" s="20"/>
      <c r="N13" s="20" t="s">
        <v>72</v>
      </c>
      <c r="O13" s="20"/>
      <c r="P13" s="20"/>
      <c r="Q13" s="7"/>
      <c r="R13" s="7"/>
      <c r="S13" s="7"/>
      <c r="T13" s="7"/>
      <c r="U13" s="7"/>
      <c r="V13" s="6" t="s">
        <v>72</v>
      </c>
      <c r="W13" s="20" t="s">
        <v>72</v>
      </c>
      <c r="X13" s="7"/>
      <c r="Y13" s="7"/>
      <c r="Z13" s="7"/>
      <c r="AA13" s="6" t="s">
        <v>72</v>
      </c>
      <c r="AB13" s="20"/>
      <c r="AC13" s="20" t="s">
        <v>72</v>
      </c>
      <c r="AD13" s="7"/>
      <c r="AE13" s="20"/>
      <c r="AF13" s="7"/>
      <c r="AG13" s="20" t="s">
        <v>72</v>
      </c>
    </row>
    <row r="14" spans="1:33">
      <c r="A14" s="2">
        <v>9</v>
      </c>
      <c r="B14" s="2">
        <v>29062806</v>
      </c>
      <c r="C14" s="5" t="s">
        <v>82</v>
      </c>
      <c r="D14" s="4">
        <v>44914</v>
      </c>
      <c r="E14" s="3" t="s">
        <v>76</v>
      </c>
      <c r="F14" s="3" t="s">
        <v>68</v>
      </c>
      <c r="G14" s="3" t="s">
        <v>71</v>
      </c>
      <c r="H14" s="17">
        <f>COUNTA(I14:AG14)</f>
        <v>8</v>
      </c>
      <c r="I14" s="6" t="s">
        <v>72</v>
      </c>
      <c r="J14" s="7"/>
      <c r="K14" s="6" t="s">
        <v>72</v>
      </c>
      <c r="L14" s="20"/>
      <c r="M14" s="20"/>
      <c r="N14" s="20" t="s">
        <v>72</v>
      </c>
      <c r="O14" s="20"/>
      <c r="P14" s="20"/>
      <c r="Q14" s="7"/>
      <c r="R14" s="7"/>
      <c r="S14" s="7"/>
      <c r="T14" s="7"/>
      <c r="U14" s="7"/>
      <c r="V14" s="6" t="s">
        <v>72</v>
      </c>
      <c r="W14" s="20"/>
      <c r="X14" s="7"/>
      <c r="Y14" s="7"/>
      <c r="Z14" s="7"/>
      <c r="AA14" s="6" t="s">
        <v>72</v>
      </c>
      <c r="AB14" s="20"/>
      <c r="AC14" s="20" t="s">
        <v>72</v>
      </c>
      <c r="AE14" s="20" t="s">
        <v>72</v>
      </c>
      <c r="AF14" s="7"/>
      <c r="AG14" s="20" t="s">
        <v>72</v>
      </c>
    </row>
    <row r="15" spans="1:33">
      <c r="A15" s="2">
        <v>10</v>
      </c>
      <c r="B15" s="2">
        <v>29061900</v>
      </c>
      <c r="C15" s="5" t="s">
        <v>83</v>
      </c>
      <c r="D15" s="4">
        <v>44928</v>
      </c>
      <c r="E15" s="3" t="s">
        <v>76</v>
      </c>
      <c r="F15" s="3" t="s">
        <v>68</v>
      </c>
      <c r="G15" s="3" t="s">
        <v>71</v>
      </c>
      <c r="H15" s="17">
        <f t="shared" si="0"/>
        <v>8</v>
      </c>
      <c r="I15" s="6" t="s">
        <v>72</v>
      </c>
      <c r="J15" s="7"/>
      <c r="K15" s="6" t="s">
        <v>72</v>
      </c>
      <c r="L15" s="20"/>
      <c r="M15" s="20"/>
      <c r="N15" s="20" t="s">
        <v>72</v>
      </c>
      <c r="O15" s="20" t="s">
        <v>72</v>
      </c>
      <c r="P15" s="20"/>
      <c r="Q15" s="7"/>
      <c r="R15" s="7"/>
      <c r="S15" s="7"/>
      <c r="T15" s="7"/>
      <c r="U15" s="7"/>
      <c r="V15" s="6" t="s">
        <v>72</v>
      </c>
      <c r="W15" s="20" t="s">
        <v>72</v>
      </c>
      <c r="X15" s="7"/>
      <c r="Y15" s="7"/>
      <c r="Z15" s="7"/>
      <c r="AA15" s="6" t="s">
        <v>72</v>
      </c>
      <c r="AB15" s="20"/>
      <c r="AC15" s="20" t="s">
        <v>72</v>
      </c>
      <c r="AD15" s="7"/>
      <c r="AE15" s="20"/>
      <c r="AF15" s="7"/>
      <c r="AG15" s="20"/>
    </row>
    <row r="16" spans="1:33">
      <c r="A16" s="2">
        <v>11</v>
      </c>
      <c r="B16" s="2">
        <v>29054870</v>
      </c>
      <c r="C16" s="3" t="s">
        <v>84</v>
      </c>
      <c r="D16" s="4">
        <v>44928</v>
      </c>
      <c r="E16" s="3" t="s">
        <v>76</v>
      </c>
      <c r="F16" s="3" t="s">
        <v>78</v>
      </c>
      <c r="G16" s="3" t="s">
        <v>71</v>
      </c>
      <c r="H16" s="17">
        <f t="shared" si="0"/>
        <v>8</v>
      </c>
      <c r="I16" s="6" t="s">
        <v>72</v>
      </c>
      <c r="J16" s="7"/>
      <c r="K16" s="6" t="s">
        <v>72</v>
      </c>
      <c r="L16" s="20"/>
      <c r="M16" s="20" t="s">
        <v>72</v>
      </c>
      <c r="N16" s="20" t="s">
        <v>72</v>
      </c>
      <c r="O16" s="20"/>
      <c r="P16" s="20"/>
      <c r="Q16" s="7"/>
      <c r="R16" s="7"/>
      <c r="S16" s="7"/>
      <c r="T16" s="7"/>
      <c r="U16" s="7"/>
      <c r="V16" s="6" t="s">
        <v>72</v>
      </c>
      <c r="W16" s="20"/>
      <c r="X16" s="7"/>
      <c r="Y16" s="7"/>
      <c r="Z16" s="7"/>
      <c r="AA16" s="6" t="s">
        <v>72</v>
      </c>
      <c r="AB16" s="20"/>
      <c r="AC16" s="20" t="s">
        <v>72</v>
      </c>
      <c r="AD16" s="20" t="s">
        <v>72</v>
      </c>
      <c r="AE16" s="20"/>
      <c r="AF16" s="7"/>
      <c r="AG16" s="20"/>
    </row>
    <row r="17" spans="1:33">
      <c r="A17" s="2">
        <v>12</v>
      </c>
      <c r="B17" s="2">
        <v>29063012</v>
      </c>
      <c r="C17" s="5" t="s">
        <v>85</v>
      </c>
      <c r="D17" s="4">
        <v>44935</v>
      </c>
      <c r="E17" s="3" t="s">
        <v>76</v>
      </c>
      <c r="F17" s="3" t="s">
        <v>68</v>
      </c>
      <c r="G17" s="3" t="s">
        <v>71</v>
      </c>
      <c r="H17" s="17">
        <f t="shared" si="0"/>
        <v>8</v>
      </c>
      <c r="I17" s="6" t="s">
        <v>72</v>
      </c>
      <c r="J17" s="7"/>
      <c r="K17" s="6" t="s">
        <v>72</v>
      </c>
      <c r="L17" s="20"/>
      <c r="M17" s="20"/>
      <c r="N17" s="20" t="s">
        <v>72</v>
      </c>
      <c r="O17" s="20"/>
      <c r="P17" s="20"/>
      <c r="Q17" s="7"/>
      <c r="R17" s="7"/>
      <c r="S17" s="7"/>
      <c r="T17" s="7"/>
      <c r="U17" s="7"/>
      <c r="V17" s="6" t="s">
        <v>72</v>
      </c>
      <c r="W17" s="20" t="s">
        <v>72</v>
      </c>
      <c r="X17" s="20"/>
      <c r="Y17" s="7"/>
      <c r="Z17" s="7"/>
      <c r="AA17" s="6" t="s">
        <v>72</v>
      </c>
      <c r="AB17" s="20"/>
      <c r="AC17" s="20" t="s">
        <v>72</v>
      </c>
      <c r="AD17" s="7"/>
      <c r="AE17" s="20"/>
      <c r="AF17" s="7"/>
      <c r="AG17" s="20" t="s">
        <v>72</v>
      </c>
    </row>
    <row r="18" spans="1:33">
      <c r="A18" s="2">
        <v>13</v>
      </c>
      <c r="B18" s="2">
        <v>29062995</v>
      </c>
      <c r="C18" s="5" t="s">
        <v>86</v>
      </c>
      <c r="D18" s="4">
        <v>44935</v>
      </c>
      <c r="E18" s="3" t="s">
        <v>76</v>
      </c>
      <c r="F18" s="3" t="s">
        <v>68</v>
      </c>
      <c r="G18" s="3" t="s">
        <v>71</v>
      </c>
      <c r="H18" s="17">
        <f t="shared" si="0"/>
        <v>8</v>
      </c>
      <c r="I18" s="6" t="s">
        <v>72</v>
      </c>
      <c r="J18" s="7"/>
      <c r="K18" s="6" t="s">
        <v>72</v>
      </c>
      <c r="L18" s="20"/>
      <c r="M18" s="20"/>
      <c r="N18" s="20" t="s">
        <v>72</v>
      </c>
      <c r="O18" s="20"/>
      <c r="P18" s="20"/>
      <c r="Q18" s="7"/>
      <c r="R18" s="7"/>
      <c r="S18" s="7"/>
      <c r="T18" s="7"/>
      <c r="U18" s="7"/>
      <c r="V18" s="6" t="s">
        <v>72</v>
      </c>
      <c r="W18" s="20" t="s">
        <v>72</v>
      </c>
      <c r="X18" s="7"/>
      <c r="Y18" s="7"/>
      <c r="Z18" s="7"/>
      <c r="AA18" s="6" t="s">
        <v>72</v>
      </c>
      <c r="AB18" s="20"/>
      <c r="AC18" s="20" t="s">
        <v>72</v>
      </c>
      <c r="AD18" s="20" t="s">
        <v>72</v>
      </c>
      <c r="AE18" s="20"/>
      <c r="AF18" s="7"/>
      <c r="AG18" s="20"/>
    </row>
    <row r="19" spans="1:33">
      <c r="A19" s="2">
        <v>14</v>
      </c>
      <c r="B19" s="2">
        <v>29063078</v>
      </c>
      <c r="C19" s="5" t="s">
        <v>87</v>
      </c>
      <c r="D19" s="4">
        <v>44970</v>
      </c>
      <c r="E19" s="3" t="s">
        <v>76</v>
      </c>
      <c r="F19" s="3" t="s">
        <v>78</v>
      </c>
      <c r="G19" s="3" t="s">
        <v>71</v>
      </c>
      <c r="H19" s="17">
        <f t="shared" si="0"/>
        <v>8</v>
      </c>
      <c r="I19" s="6" t="s">
        <v>72</v>
      </c>
      <c r="J19" s="7"/>
      <c r="K19" s="6" t="s">
        <v>72</v>
      </c>
      <c r="L19" s="20"/>
      <c r="M19" s="20"/>
      <c r="N19" s="20" t="s">
        <v>72</v>
      </c>
      <c r="O19" s="20"/>
      <c r="P19" s="20"/>
      <c r="Q19" s="7"/>
      <c r="R19" s="7"/>
      <c r="S19" s="7"/>
      <c r="T19" s="7"/>
      <c r="U19" s="7"/>
      <c r="V19" s="6" t="s">
        <v>72</v>
      </c>
      <c r="W19" s="20"/>
      <c r="X19" s="7"/>
      <c r="Y19" s="7"/>
      <c r="Z19" s="7"/>
      <c r="AA19" s="6" t="s">
        <v>72</v>
      </c>
      <c r="AB19" s="20" t="s">
        <v>72</v>
      </c>
      <c r="AC19" s="20" t="s">
        <v>72</v>
      </c>
      <c r="AD19" s="7"/>
      <c r="AE19" s="20"/>
      <c r="AF19" s="7"/>
      <c r="AG19" s="20" t="s">
        <v>72</v>
      </c>
    </row>
    <row r="20" spans="1:33">
      <c r="A20" s="2">
        <v>15</v>
      </c>
      <c r="B20" s="2">
        <v>29063200</v>
      </c>
      <c r="C20" s="5" t="s">
        <v>88</v>
      </c>
      <c r="D20" s="4">
        <v>44984</v>
      </c>
      <c r="E20" s="3" t="s">
        <v>76</v>
      </c>
      <c r="F20" s="3" t="s">
        <v>68</v>
      </c>
      <c r="G20" s="3" t="s">
        <v>71</v>
      </c>
      <c r="H20" s="17">
        <f t="shared" si="0"/>
        <v>8</v>
      </c>
      <c r="I20" s="6" t="s">
        <v>72</v>
      </c>
      <c r="J20" s="7"/>
      <c r="K20" s="6" t="s">
        <v>72</v>
      </c>
      <c r="L20" s="20"/>
      <c r="M20" s="20"/>
      <c r="N20" s="20"/>
      <c r="O20" s="20"/>
      <c r="P20" s="20"/>
      <c r="Q20" s="7"/>
      <c r="R20" s="7" t="s">
        <v>72</v>
      </c>
      <c r="S20" s="7"/>
      <c r="T20" s="7"/>
      <c r="U20" s="7"/>
      <c r="V20" s="6" t="s">
        <v>72</v>
      </c>
      <c r="W20" s="20"/>
      <c r="X20" s="7"/>
      <c r="Y20" s="7"/>
      <c r="Z20" s="7"/>
      <c r="AA20" s="6" t="s">
        <v>72</v>
      </c>
      <c r="AB20" s="20" t="s">
        <v>72</v>
      </c>
      <c r="AC20" s="20" t="s">
        <v>72</v>
      </c>
      <c r="AD20" s="7"/>
      <c r="AE20" s="20"/>
      <c r="AF20" s="7"/>
      <c r="AG20" s="20" t="s">
        <v>72</v>
      </c>
    </row>
    <row r="21" spans="1:33">
      <c r="A21" s="2">
        <v>16</v>
      </c>
      <c r="B21" s="2">
        <v>29063300</v>
      </c>
      <c r="C21" s="3" t="s">
        <v>89</v>
      </c>
      <c r="D21" s="4">
        <v>44998</v>
      </c>
      <c r="E21" s="3" t="s">
        <v>76</v>
      </c>
      <c r="F21" s="3" t="s">
        <v>73</v>
      </c>
      <c r="G21" s="3" t="s">
        <v>71</v>
      </c>
      <c r="H21" s="17">
        <f t="shared" si="0"/>
        <v>8</v>
      </c>
      <c r="I21" s="6" t="s">
        <v>72</v>
      </c>
      <c r="J21" s="7"/>
      <c r="K21" s="6" t="s">
        <v>72</v>
      </c>
      <c r="L21" s="20"/>
      <c r="M21" s="20"/>
      <c r="N21" s="20" t="s">
        <v>72</v>
      </c>
      <c r="O21" s="20" t="s">
        <v>72</v>
      </c>
      <c r="P21" s="20"/>
      <c r="Q21" s="7"/>
      <c r="R21" s="7"/>
      <c r="S21" s="7"/>
      <c r="T21" s="7"/>
      <c r="U21" s="7"/>
      <c r="V21" s="6" t="s">
        <v>72</v>
      </c>
      <c r="W21" s="20" t="s">
        <v>72</v>
      </c>
      <c r="X21" s="7"/>
      <c r="Y21" s="7"/>
      <c r="Z21" s="7"/>
      <c r="AA21" s="6" t="s">
        <v>72</v>
      </c>
      <c r="AB21" s="20"/>
      <c r="AC21" s="20" t="s">
        <v>72</v>
      </c>
      <c r="AD21" s="7"/>
      <c r="AE21" s="20"/>
      <c r="AF21" s="7"/>
      <c r="AG21" s="20"/>
    </row>
    <row r="22" spans="1:33">
      <c r="A22" s="2">
        <v>17</v>
      </c>
      <c r="B22" s="2">
        <v>29063633</v>
      </c>
      <c r="C22" s="5" t="s">
        <v>90</v>
      </c>
      <c r="D22" s="4">
        <v>45033</v>
      </c>
      <c r="E22" s="3" t="s">
        <v>76</v>
      </c>
      <c r="F22" s="3" t="s">
        <v>73</v>
      </c>
      <c r="G22" s="3" t="s">
        <v>71</v>
      </c>
      <c r="H22" s="17">
        <v>8</v>
      </c>
      <c r="I22" s="6" t="s">
        <v>72</v>
      </c>
      <c r="J22" s="7"/>
      <c r="K22" s="6" t="s">
        <v>72</v>
      </c>
      <c r="L22" s="20"/>
      <c r="M22" s="20"/>
      <c r="N22" s="20" t="s">
        <v>72</v>
      </c>
      <c r="O22" s="20"/>
      <c r="P22" s="20"/>
      <c r="Q22" s="7"/>
      <c r="R22" s="7"/>
      <c r="S22" s="7"/>
      <c r="T22" s="7"/>
      <c r="U22" s="7"/>
      <c r="V22" s="6" t="s">
        <v>72</v>
      </c>
      <c r="W22" s="20" t="s">
        <v>72</v>
      </c>
      <c r="X22" s="7"/>
      <c r="Y22" s="7"/>
      <c r="Z22" s="7"/>
      <c r="AA22" s="6" t="s">
        <v>72</v>
      </c>
      <c r="AB22" s="20"/>
      <c r="AC22" s="20" t="s">
        <v>72</v>
      </c>
      <c r="AD22" s="11" t="s">
        <v>72</v>
      </c>
      <c r="AE22" s="20"/>
      <c r="AF22" s="7"/>
      <c r="AG22" s="20"/>
    </row>
    <row r="23" spans="1:33">
      <c r="A23" s="2">
        <v>18</v>
      </c>
      <c r="B23" s="2">
        <v>29063769</v>
      </c>
      <c r="C23" s="5" t="s">
        <v>91</v>
      </c>
      <c r="D23" s="4">
        <v>45075</v>
      </c>
      <c r="E23" s="3" t="s">
        <v>76</v>
      </c>
      <c r="F23" s="3" t="s">
        <v>68</v>
      </c>
      <c r="G23" s="3" t="s">
        <v>71</v>
      </c>
      <c r="H23" s="17">
        <f t="shared" si="0"/>
        <v>8</v>
      </c>
      <c r="I23" s="6" t="s">
        <v>72</v>
      </c>
      <c r="J23" s="7"/>
      <c r="K23" s="6" t="s">
        <v>72</v>
      </c>
      <c r="L23" s="20"/>
      <c r="M23" s="20" t="s">
        <v>72</v>
      </c>
      <c r="N23" s="20" t="s">
        <v>72</v>
      </c>
      <c r="O23" s="20"/>
      <c r="P23" s="20"/>
      <c r="Q23" s="7"/>
      <c r="R23" s="7"/>
      <c r="S23" s="7"/>
      <c r="T23" s="7"/>
      <c r="U23" s="7"/>
      <c r="V23" s="6" t="s">
        <v>72</v>
      </c>
      <c r="W23" s="20" t="s">
        <v>72</v>
      </c>
      <c r="X23" s="7"/>
      <c r="Y23" s="7"/>
      <c r="Z23" s="7"/>
      <c r="AA23" s="6" t="s">
        <v>72</v>
      </c>
      <c r="AB23" s="20"/>
      <c r="AC23" s="20" t="s">
        <v>72</v>
      </c>
      <c r="AD23" s="7"/>
      <c r="AE23" s="20"/>
      <c r="AF23" s="7"/>
      <c r="AG23" s="20"/>
    </row>
    <row r="24" spans="1:33">
      <c r="A24" s="2">
        <v>19</v>
      </c>
      <c r="B24" s="2">
        <v>29066663</v>
      </c>
      <c r="C24" s="5" t="s">
        <v>92</v>
      </c>
      <c r="D24" s="4">
        <v>45273</v>
      </c>
      <c r="E24" s="3" t="s">
        <v>76</v>
      </c>
      <c r="F24" s="3" t="s">
        <v>68</v>
      </c>
      <c r="G24" s="3" t="s">
        <v>71</v>
      </c>
      <c r="H24" s="17">
        <f t="shared" si="0"/>
        <v>8</v>
      </c>
      <c r="I24" s="6" t="s">
        <v>72</v>
      </c>
      <c r="J24" s="7"/>
      <c r="K24" s="6" t="s">
        <v>72</v>
      </c>
      <c r="L24" s="20"/>
      <c r="M24" s="20"/>
      <c r="N24" s="20" t="s">
        <v>72</v>
      </c>
      <c r="O24" s="20"/>
      <c r="P24" s="20"/>
      <c r="Q24" s="7"/>
      <c r="R24" s="7"/>
      <c r="S24" s="7"/>
      <c r="T24" s="7"/>
      <c r="U24" s="7"/>
      <c r="V24" s="6" t="s">
        <v>72</v>
      </c>
      <c r="W24" s="20" t="s">
        <v>72</v>
      </c>
      <c r="X24" s="7"/>
      <c r="Y24" s="7"/>
      <c r="Z24" s="7"/>
      <c r="AA24" s="6" t="s">
        <v>72</v>
      </c>
      <c r="AB24" s="20" t="s">
        <v>72</v>
      </c>
      <c r="AC24" s="20" t="s">
        <v>72</v>
      </c>
      <c r="AD24" s="7"/>
      <c r="AE24" s="20"/>
      <c r="AF24" s="7"/>
      <c r="AG24" s="20"/>
    </row>
    <row r="25" spans="1:33">
      <c r="A25" s="2">
        <v>20</v>
      </c>
      <c r="B25" s="2">
        <v>29066544</v>
      </c>
      <c r="C25" s="5" t="s">
        <v>93</v>
      </c>
      <c r="D25" s="4">
        <v>45278</v>
      </c>
      <c r="E25" s="3" t="s">
        <v>76</v>
      </c>
      <c r="F25" s="3" t="s">
        <v>68</v>
      </c>
      <c r="G25" s="3" t="s">
        <v>71</v>
      </c>
      <c r="H25" s="17">
        <f t="shared" si="0"/>
        <v>8</v>
      </c>
      <c r="I25" s="6" t="s">
        <v>72</v>
      </c>
      <c r="J25" s="7"/>
      <c r="K25" s="6" t="s">
        <v>72</v>
      </c>
      <c r="L25" s="20" t="s">
        <v>72</v>
      </c>
      <c r="M25" s="20"/>
      <c r="N25" s="20" t="s">
        <v>72</v>
      </c>
      <c r="O25" s="20"/>
      <c r="P25" s="20"/>
      <c r="Q25" s="7"/>
      <c r="R25" s="7"/>
      <c r="S25" s="7"/>
      <c r="T25" s="7"/>
      <c r="U25" s="7"/>
      <c r="V25" s="6" t="s">
        <v>72</v>
      </c>
      <c r="W25" s="20" t="s">
        <v>72</v>
      </c>
      <c r="X25" s="7"/>
      <c r="Y25" s="7"/>
      <c r="Z25" s="7"/>
      <c r="AA25" s="6" t="s">
        <v>72</v>
      </c>
      <c r="AB25" s="20"/>
      <c r="AC25" s="20" t="s">
        <v>72</v>
      </c>
      <c r="AD25" s="7"/>
      <c r="AE25" s="20"/>
      <c r="AF25" s="7"/>
      <c r="AG25" s="20"/>
    </row>
    <row r="26" spans="1:33">
      <c r="A26" s="2">
        <v>21</v>
      </c>
      <c r="B26" s="2">
        <v>29069377</v>
      </c>
      <c r="C26" s="5" t="s">
        <v>94</v>
      </c>
      <c r="D26" s="4">
        <v>45481</v>
      </c>
      <c r="E26" s="3" t="s">
        <v>76</v>
      </c>
      <c r="F26" s="3" t="s">
        <v>68</v>
      </c>
      <c r="G26" s="3" t="s">
        <v>71</v>
      </c>
      <c r="H26" s="17">
        <f t="shared" si="0"/>
        <v>6</v>
      </c>
      <c r="I26" s="6" t="s">
        <v>72</v>
      </c>
      <c r="J26" s="20"/>
      <c r="K26" s="6" t="s">
        <v>72</v>
      </c>
      <c r="L26" s="20"/>
      <c r="M26" s="20"/>
      <c r="N26" s="20"/>
      <c r="O26" s="20"/>
      <c r="P26" s="20"/>
      <c r="Q26" s="7"/>
      <c r="R26" s="7"/>
      <c r="S26" s="7"/>
      <c r="T26" s="7"/>
      <c r="U26" s="7"/>
      <c r="V26" s="6" t="s">
        <v>72</v>
      </c>
      <c r="W26" s="20"/>
      <c r="X26" s="7"/>
      <c r="Y26" s="7"/>
      <c r="Z26" s="7"/>
      <c r="AA26" s="6" t="s">
        <v>72</v>
      </c>
      <c r="AB26" s="20" t="s">
        <v>72</v>
      </c>
      <c r="AC26" s="20" t="s">
        <v>72</v>
      </c>
      <c r="AD26" s="7"/>
      <c r="AE26" s="20"/>
      <c r="AF26" s="7"/>
      <c r="AG26" s="20"/>
    </row>
    <row r="27" spans="1:33">
      <c r="A27" s="2">
        <v>22</v>
      </c>
      <c r="B27" s="2">
        <v>29069594</v>
      </c>
      <c r="C27" s="5" t="s">
        <v>95</v>
      </c>
      <c r="D27" s="4">
        <v>45495</v>
      </c>
      <c r="E27" s="3" t="s">
        <v>76</v>
      </c>
      <c r="F27" s="3" t="s">
        <v>68</v>
      </c>
      <c r="G27" s="3" t="s">
        <v>71</v>
      </c>
      <c r="H27" s="17">
        <f t="shared" si="0"/>
        <v>6</v>
      </c>
      <c r="I27" s="6" t="s">
        <v>72</v>
      </c>
      <c r="J27" s="20"/>
      <c r="K27" s="6" t="s">
        <v>72</v>
      </c>
      <c r="L27" s="20"/>
      <c r="M27" s="20"/>
      <c r="N27" s="20"/>
      <c r="O27" s="20"/>
      <c r="P27" s="20"/>
      <c r="Q27" s="7"/>
      <c r="R27" s="7"/>
      <c r="S27" s="7"/>
      <c r="T27" s="7"/>
      <c r="U27" s="7"/>
      <c r="V27" s="6" t="s">
        <v>72</v>
      </c>
      <c r="W27" s="20" t="s">
        <v>72</v>
      </c>
      <c r="X27" s="7"/>
      <c r="Y27" s="7"/>
      <c r="Z27" s="7"/>
      <c r="AA27" s="6" t="s">
        <v>72</v>
      </c>
      <c r="AB27" s="20"/>
      <c r="AC27" s="20" t="s">
        <v>72</v>
      </c>
      <c r="AD27" s="7"/>
      <c r="AE27" s="20"/>
      <c r="AF27" s="7"/>
      <c r="AG27" s="20"/>
    </row>
    <row r="28" spans="1:33">
      <c r="A28" s="21">
        <v>23</v>
      </c>
      <c r="B28" s="21">
        <v>29069628</v>
      </c>
      <c r="C28" s="22" t="s">
        <v>96</v>
      </c>
      <c r="D28" s="23">
        <v>45495</v>
      </c>
      <c r="E28" s="24" t="s">
        <v>76</v>
      </c>
      <c r="F28" s="24" t="s">
        <v>68</v>
      </c>
      <c r="G28" s="24" t="s">
        <v>71</v>
      </c>
      <c r="H28" s="2">
        <f t="shared" si="0"/>
        <v>6</v>
      </c>
      <c r="I28" s="27" t="s">
        <v>72</v>
      </c>
      <c r="J28" s="25"/>
      <c r="K28" s="27" t="s">
        <v>72</v>
      </c>
      <c r="L28" s="25"/>
      <c r="M28" s="25"/>
      <c r="N28" s="25"/>
      <c r="O28" s="25"/>
      <c r="P28" s="25"/>
      <c r="Q28" s="26"/>
      <c r="R28" s="26"/>
      <c r="S28" s="26"/>
      <c r="T28" s="26"/>
      <c r="U28" s="26"/>
      <c r="V28" s="27" t="s">
        <v>72</v>
      </c>
      <c r="W28" s="25"/>
      <c r="X28" s="26"/>
      <c r="Y28" s="26"/>
      <c r="Z28" s="26"/>
      <c r="AA28" s="27" t="s">
        <v>72</v>
      </c>
      <c r="AB28" s="25"/>
      <c r="AC28" s="25" t="s">
        <v>72</v>
      </c>
      <c r="AD28" s="26"/>
      <c r="AE28" s="25"/>
      <c r="AF28" s="26"/>
      <c r="AG28" s="25" t="s">
        <v>72</v>
      </c>
    </row>
    <row r="29" spans="1:33">
      <c r="A29" s="2">
        <v>24</v>
      </c>
      <c r="B29" s="2">
        <v>29069919</v>
      </c>
      <c r="C29" s="5" t="s">
        <v>97</v>
      </c>
      <c r="D29" s="4">
        <v>45586</v>
      </c>
      <c r="E29" s="3" t="s">
        <v>76</v>
      </c>
      <c r="F29" s="3" t="s">
        <v>68</v>
      </c>
      <c r="G29" s="3" t="s">
        <v>71</v>
      </c>
      <c r="H29" s="2">
        <v>1</v>
      </c>
      <c r="I29" s="27"/>
      <c r="J29" s="20"/>
      <c r="K29" s="27"/>
      <c r="L29" s="20"/>
      <c r="M29" s="20"/>
      <c r="N29" s="20"/>
      <c r="O29" s="20"/>
      <c r="P29" s="20"/>
      <c r="Q29" s="7"/>
      <c r="R29" s="7"/>
      <c r="S29" s="7"/>
      <c r="T29" s="7"/>
      <c r="U29" s="7"/>
      <c r="V29" s="27"/>
      <c r="W29" s="20"/>
      <c r="X29" s="7"/>
      <c r="Y29" s="7"/>
      <c r="Z29" s="7"/>
      <c r="AA29" s="27"/>
      <c r="AB29" s="20"/>
      <c r="AC29" s="20" t="s">
        <v>72</v>
      </c>
      <c r="AD29" s="7"/>
      <c r="AE29" s="20"/>
      <c r="AF29" s="7"/>
      <c r="AG29" s="20"/>
    </row>
    <row r="30" spans="1:33">
      <c r="A30" s="2">
        <v>25</v>
      </c>
      <c r="B30" s="2">
        <v>29070348</v>
      </c>
      <c r="C30" s="3" t="s">
        <v>98</v>
      </c>
      <c r="D30" s="4">
        <v>45586</v>
      </c>
      <c r="E30" s="3" t="s">
        <v>76</v>
      </c>
      <c r="F30" s="3" t="s">
        <v>68</v>
      </c>
      <c r="G30" s="3" t="s">
        <v>71</v>
      </c>
      <c r="H30" s="2">
        <v>1</v>
      </c>
      <c r="I30" s="6"/>
      <c r="J30" s="20"/>
      <c r="K30" s="6"/>
      <c r="L30" s="20"/>
      <c r="M30" s="20"/>
      <c r="N30" s="20"/>
      <c r="O30" s="20"/>
      <c r="P30" s="20"/>
      <c r="Q30" s="7"/>
      <c r="R30" s="7"/>
      <c r="S30" s="7"/>
      <c r="T30" s="7"/>
      <c r="U30" s="7"/>
      <c r="V30" s="6"/>
      <c r="W30" s="20"/>
      <c r="X30" s="7"/>
      <c r="Y30" s="7"/>
      <c r="Z30" s="7"/>
      <c r="AA30" s="6"/>
      <c r="AB30" s="20"/>
      <c r="AC30" s="20" t="s">
        <v>72</v>
      </c>
      <c r="AD30" s="7"/>
      <c r="AE30" s="20"/>
      <c r="AF30" s="7"/>
      <c r="AG30" s="20"/>
    </row>
    <row r="31" spans="1:33">
      <c r="A31" s="21">
        <v>26</v>
      </c>
      <c r="B31" s="21">
        <v>29070028</v>
      </c>
      <c r="C31" s="24" t="s">
        <v>99</v>
      </c>
      <c r="D31" s="23">
        <v>45586</v>
      </c>
      <c r="E31" s="24" t="s">
        <v>76</v>
      </c>
      <c r="F31" s="24" t="s">
        <v>68</v>
      </c>
      <c r="G31" s="24" t="s">
        <v>71</v>
      </c>
      <c r="H31" s="21">
        <v>1</v>
      </c>
      <c r="I31" s="27"/>
      <c r="J31" s="25"/>
      <c r="K31" s="27"/>
      <c r="L31" s="25"/>
      <c r="M31" s="25"/>
      <c r="N31" s="25"/>
      <c r="O31" s="25"/>
      <c r="P31" s="25"/>
      <c r="Q31" s="26"/>
      <c r="R31" s="26"/>
      <c r="S31" s="26"/>
      <c r="T31" s="26"/>
      <c r="U31" s="26"/>
      <c r="V31" s="27"/>
      <c r="W31" s="25"/>
      <c r="X31" s="26"/>
      <c r="Y31" s="26"/>
      <c r="Z31" s="26"/>
      <c r="AA31" s="27"/>
      <c r="AB31" s="25"/>
      <c r="AC31" s="25" t="s">
        <v>72</v>
      </c>
      <c r="AD31" s="26"/>
      <c r="AE31" s="25"/>
      <c r="AF31" s="26"/>
      <c r="AG31" s="25"/>
    </row>
    <row r="32" spans="1:33">
      <c r="A32" s="32">
        <v>27</v>
      </c>
      <c r="B32" s="33">
        <v>29070362</v>
      </c>
      <c r="C32" s="34" t="s">
        <v>100</v>
      </c>
      <c r="D32" s="35">
        <v>45600</v>
      </c>
      <c r="E32" s="36" t="s">
        <v>76</v>
      </c>
      <c r="F32" s="36" t="s">
        <v>68</v>
      </c>
      <c r="G32" s="36" t="s">
        <v>71</v>
      </c>
      <c r="H32" s="32">
        <v>1</v>
      </c>
      <c r="I32" s="37"/>
      <c r="J32" s="38"/>
      <c r="K32" s="37"/>
      <c r="L32" s="38"/>
      <c r="M32" s="38"/>
      <c r="N32" s="38"/>
      <c r="O32" s="38"/>
      <c r="P32" s="38"/>
      <c r="Q32" s="39"/>
      <c r="R32" s="39"/>
      <c r="S32" s="39"/>
      <c r="T32" s="39"/>
      <c r="U32" s="39"/>
      <c r="V32" s="37"/>
      <c r="W32" s="38"/>
      <c r="X32" s="39"/>
      <c r="Y32" s="39"/>
      <c r="Z32" s="39"/>
      <c r="AA32" s="37"/>
      <c r="AB32" s="38"/>
      <c r="AC32" s="38"/>
      <c r="AD32" s="39"/>
      <c r="AE32" s="38" t="s">
        <v>72</v>
      </c>
      <c r="AF32" s="39"/>
      <c r="AG32" s="38"/>
    </row>
    <row r="33" spans="1:33">
      <c r="A33" s="43">
        <v>28</v>
      </c>
      <c r="B33" s="43">
        <v>29069889</v>
      </c>
      <c r="C33" s="44" t="s">
        <v>101</v>
      </c>
      <c r="D33" s="45">
        <v>45607</v>
      </c>
      <c r="E33" s="36" t="s">
        <v>76</v>
      </c>
      <c r="F33" s="36" t="s">
        <v>68</v>
      </c>
      <c r="G33" s="36" t="s">
        <v>71</v>
      </c>
      <c r="H33" s="32">
        <v>1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8" t="s">
        <v>72</v>
      </c>
    </row>
    <row r="34" spans="1:33">
      <c r="A34" s="40">
        <v>29</v>
      </c>
      <c r="B34" s="40">
        <v>29070458</v>
      </c>
      <c r="C34" s="42" t="s">
        <v>102</v>
      </c>
      <c r="D34" s="41">
        <v>45630</v>
      </c>
      <c r="E34" s="30" t="s">
        <v>76</v>
      </c>
      <c r="F34" s="30" t="s">
        <v>68</v>
      </c>
      <c r="G34" s="30" t="s">
        <v>71</v>
      </c>
      <c r="H34" s="29">
        <v>0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28"/>
    </row>
    <row r="35" spans="1:33">
      <c r="A35" s="40">
        <v>30</v>
      </c>
      <c r="B35" s="40">
        <v>29070965</v>
      </c>
      <c r="C35" s="42" t="s">
        <v>103</v>
      </c>
      <c r="D35" s="41">
        <v>45635</v>
      </c>
      <c r="E35" s="30" t="s">
        <v>76</v>
      </c>
      <c r="F35" s="30" t="s">
        <v>68</v>
      </c>
      <c r="G35" s="30" t="s">
        <v>71</v>
      </c>
      <c r="H35" s="29">
        <v>0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>
      <c r="A36" s="40">
        <v>31</v>
      </c>
      <c r="B36" s="40">
        <v>29070841</v>
      </c>
      <c r="C36" s="42" t="s">
        <v>104</v>
      </c>
      <c r="D36" s="41">
        <v>45635</v>
      </c>
      <c r="E36" s="30" t="s">
        <v>76</v>
      </c>
      <c r="F36" s="30" t="s">
        <v>68</v>
      </c>
      <c r="G36" s="30" t="s">
        <v>71</v>
      </c>
      <c r="H36" s="29">
        <v>0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82.1">
      <c r="C37" s="46" t="s">
        <v>105</v>
      </c>
    </row>
  </sheetData>
  <mergeCells count="8">
    <mergeCell ref="G3:G5"/>
    <mergeCell ref="H3:H5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  <pageSetup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4F8C-048A-435A-9A7A-37972F1EC8ED}">
  <dimension ref="A1:D33"/>
  <sheetViews>
    <sheetView workbookViewId="0">
      <selection activeCell="A4" sqref="A4:C5"/>
    </sheetView>
  </sheetViews>
  <sheetFormatPr defaultRowHeight="14.45"/>
  <cols>
    <col min="1" max="1" width="11.42578125" bestFit="1" customWidth="1"/>
    <col min="2" max="2" width="14.28515625" bestFit="1" customWidth="1"/>
    <col min="3" max="3" width="25.7109375" bestFit="1" customWidth="1"/>
  </cols>
  <sheetData>
    <row r="1" spans="1:4">
      <c r="A1" s="159" t="s">
        <v>106</v>
      </c>
      <c r="B1" s="160"/>
      <c r="C1" s="161"/>
      <c r="D1" s="56" t="s">
        <v>107</v>
      </c>
    </row>
    <row r="2" spans="1:4">
      <c r="A2" s="63" t="s">
        <v>64</v>
      </c>
      <c r="B2" s="64">
        <v>45658</v>
      </c>
      <c r="C2" s="63" t="s">
        <v>37</v>
      </c>
      <c r="D2" s="63" t="s">
        <v>108</v>
      </c>
    </row>
    <row r="3" spans="1:4">
      <c r="A3" s="65" t="s">
        <v>62</v>
      </c>
      <c r="B3" s="66">
        <v>45663</v>
      </c>
      <c r="C3" s="65" t="s">
        <v>109</v>
      </c>
      <c r="D3" s="65" t="s">
        <v>110</v>
      </c>
    </row>
    <row r="4" spans="1:4">
      <c r="A4" s="67" t="s">
        <v>111</v>
      </c>
      <c r="B4" s="68">
        <v>45671</v>
      </c>
      <c r="C4" s="67" t="s">
        <v>112</v>
      </c>
      <c r="D4" s="67" t="s">
        <v>113</v>
      </c>
    </row>
    <row r="5" spans="1:4">
      <c r="A5" s="65" t="s">
        <v>64</v>
      </c>
      <c r="B5" s="66">
        <v>45700</v>
      </c>
      <c r="C5" s="65" t="s">
        <v>114</v>
      </c>
      <c r="D5" s="65" t="s">
        <v>110</v>
      </c>
    </row>
    <row r="6" spans="1:4">
      <c r="A6" s="63" t="s">
        <v>64</v>
      </c>
      <c r="B6" s="64">
        <v>45714</v>
      </c>
      <c r="C6" s="63" t="s">
        <v>115</v>
      </c>
      <c r="D6" s="63" t="s">
        <v>108</v>
      </c>
    </row>
    <row r="7" spans="1:4">
      <c r="A7" s="65" t="s">
        <v>63</v>
      </c>
      <c r="B7" s="66">
        <v>45730</v>
      </c>
      <c r="C7" s="65" t="s">
        <v>42</v>
      </c>
      <c r="D7" s="65" t="s">
        <v>110</v>
      </c>
    </row>
    <row r="8" spans="1:4">
      <c r="A8" s="63" t="s">
        <v>62</v>
      </c>
      <c r="B8" s="64">
        <v>45747</v>
      </c>
      <c r="C8" s="63" t="s">
        <v>116</v>
      </c>
      <c r="D8" s="63" t="s">
        <v>108</v>
      </c>
    </row>
    <row r="9" spans="1:4">
      <c r="A9" s="63" t="s">
        <v>66</v>
      </c>
      <c r="B9" s="64">
        <v>45757</v>
      </c>
      <c r="C9" s="63" t="s">
        <v>117</v>
      </c>
      <c r="D9" s="63" t="s">
        <v>108</v>
      </c>
    </row>
    <row r="10" spans="1:4">
      <c r="A10" s="63" t="s">
        <v>62</v>
      </c>
      <c r="B10" s="64">
        <v>45761</v>
      </c>
      <c r="C10" s="63" t="s">
        <v>118</v>
      </c>
      <c r="D10" s="63" t="s">
        <v>108</v>
      </c>
    </row>
    <row r="11" spans="1:4">
      <c r="A11" s="67" t="s">
        <v>63</v>
      </c>
      <c r="B11" s="68">
        <v>45765</v>
      </c>
      <c r="C11" s="67" t="s">
        <v>43</v>
      </c>
      <c r="D11" s="67" t="s">
        <v>113</v>
      </c>
    </row>
    <row r="12" spans="1:4">
      <c r="A12" s="65" t="s">
        <v>111</v>
      </c>
      <c r="B12" s="66">
        <v>45776</v>
      </c>
      <c r="C12" s="65" t="s">
        <v>119</v>
      </c>
      <c r="D12" s="65" t="s">
        <v>110</v>
      </c>
    </row>
    <row r="13" spans="1:4">
      <c r="A13" s="63" t="s">
        <v>64</v>
      </c>
      <c r="B13" s="64">
        <v>45777</v>
      </c>
      <c r="C13" s="63" t="s">
        <v>120</v>
      </c>
      <c r="D13" s="63" t="s">
        <v>108</v>
      </c>
    </row>
    <row r="14" spans="1:4">
      <c r="A14" s="67" t="s">
        <v>66</v>
      </c>
      <c r="B14" s="68">
        <v>45778</v>
      </c>
      <c r="C14" s="67" t="s">
        <v>46</v>
      </c>
      <c r="D14" s="67" t="s">
        <v>113</v>
      </c>
    </row>
    <row r="15" spans="1:4">
      <c r="A15" s="65" t="s">
        <v>66</v>
      </c>
      <c r="B15" s="66">
        <v>45806</v>
      </c>
      <c r="C15" s="65" t="s">
        <v>121</v>
      </c>
      <c r="D15" s="65" t="s">
        <v>110</v>
      </c>
    </row>
    <row r="16" spans="1:4">
      <c r="A16" s="67" t="s">
        <v>62</v>
      </c>
      <c r="B16" s="68">
        <v>45789</v>
      </c>
      <c r="C16" s="67" t="s">
        <v>47</v>
      </c>
      <c r="D16" s="67" t="s">
        <v>113</v>
      </c>
    </row>
    <row r="17" spans="1:4">
      <c r="A17" s="65" t="s">
        <v>64</v>
      </c>
      <c r="B17" s="66">
        <v>45819</v>
      </c>
      <c r="C17" s="65" t="s">
        <v>122</v>
      </c>
      <c r="D17" s="65" t="s">
        <v>110</v>
      </c>
    </row>
    <row r="18" spans="1:4">
      <c r="A18" s="65" t="s">
        <v>66</v>
      </c>
      <c r="B18" s="66">
        <v>45869</v>
      </c>
      <c r="C18" s="65" t="s">
        <v>123</v>
      </c>
      <c r="D18" s="65" t="s">
        <v>110</v>
      </c>
    </row>
    <row r="19" spans="1:4">
      <c r="A19" s="63" t="s">
        <v>63</v>
      </c>
      <c r="B19" s="64">
        <v>45884</v>
      </c>
      <c r="C19" s="63" t="s">
        <v>124</v>
      </c>
      <c r="D19" s="63" t="s">
        <v>108</v>
      </c>
    </row>
    <row r="20" spans="1:4">
      <c r="A20" s="67" t="s">
        <v>64</v>
      </c>
      <c r="B20" s="68">
        <v>45896</v>
      </c>
      <c r="C20" s="67" t="s">
        <v>125</v>
      </c>
      <c r="D20" s="67" t="s">
        <v>113</v>
      </c>
    </row>
    <row r="21" spans="1:4">
      <c r="A21" s="63" t="s">
        <v>62</v>
      </c>
      <c r="B21" s="64">
        <v>45901</v>
      </c>
      <c r="C21" s="63" t="s">
        <v>126</v>
      </c>
      <c r="D21" s="63" t="s">
        <v>108</v>
      </c>
    </row>
    <row r="22" spans="1:4">
      <c r="A22" s="67" t="s">
        <v>63</v>
      </c>
      <c r="B22" s="68">
        <v>45905</v>
      </c>
      <c r="C22" s="67" t="s">
        <v>127</v>
      </c>
      <c r="D22" s="67" t="s">
        <v>113</v>
      </c>
    </row>
    <row r="23" spans="1:4">
      <c r="A23" s="65" t="s">
        <v>62</v>
      </c>
      <c r="B23" s="66">
        <v>45922</v>
      </c>
      <c r="C23" s="65" t="s">
        <v>128</v>
      </c>
      <c r="D23" s="65" t="s">
        <v>110</v>
      </c>
    </row>
    <row r="24" spans="1:4">
      <c r="A24" s="67" t="s">
        <v>64</v>
      </c>
      <c r="B24" s="68">
        <v>45917</v>
      </c>
      <c r="C24" s="67" t="s">
        <v>129</v>
      </c>
      <c r="D24" s="67" t="s">
        <v>113</v>
      </c>
    </row>
    <row r="25" spans="1:4">
      <c r="A25" s="65" t="s">
        <v>111</v>
      </c>
      <c r="B25" s="66">
        <v>45923</v>
      </c>
      <c r="C25" s="65" t="s">
        <v>130</v>
      </c>
      <c r="D25" s="65" t="s">
        <v>110</v>
      </c>
    </row>
    <row r="26" spans="1:4">
      <c r="A26" s="67" t="s">
        <v>64</v>
      </c>
      <c r="B26" s="68">
        <v>45931</v>
      </c>
      <c r="C26" s="67" t="s">
        <v>56</v>
      </c>
      <c r="D26" s="67" t="s">
        <v>113</v>
      </c>
    </row>
    <row r="27" spans="1:4">
      <c r="A27" s="63" t="s">
        <v>66</v>
      </c>
      <c r="B27" s="64">
        <v>45932</v>
      </c>
      <c r="C27" s="63" t="s">
        <v>131</v>
      </c>
      <c r="D27" s="63" t="s">
        <v>108</v>
      </c>
    </row>
    <row r="28" spans="1:4">
      <c r="A28" s="63" t="s">
        <v>111</v>
      </c>
      <c r="B28" s="64">
        <v>45937</v>
      </c>
      <c r="C28" s="63" t="s">
        <v>132</v>
      </c>
      <c r="D28" s="63" t="s">
        <v>108</v>
      </c>
    </row>
    <row r="29" spans="1:4">
      <c r="A29" s="63" t="s">
        <v>62</v>
      </c>
      <c r="B29" s="64">
        <v>45950</v>
      </c>
      <c r="C29" s="63" t="s">
        <v>133</v>
      </c>
      <c r="D29" s="63" t="s">
        <v>108</v>
      </c>
    </row>
    <row r="30" spans="1:4">
      <c r="A30" s="63" t="s">
        <v>64</v>
      </c>
      <c r="B30" s="64">
        <v>45952</v>
      </c>
      <c r="C30" s="63" t="s">
        <v>134</v>
      </c>
      <c r="D30" s="63" t="s">
        <v>108</v>
      </c>
    </row>
    <row r="31" spans="1:4">
      <c r="A31" s="65" t="s">
        <v>64</v>
      </c>
      <c r="B31" s="66">
        <v>45966</v>
      </c>
      <c r="C31" s="65" t="s">
        <v>59</v>
      </c>
      <c r="D31" s="65" t="s">
        <v>110</v>
      </c>
    </row>
    <row r="32" spans="1:4">
      <c r="A32" s="63" t="s">
        <v>66</v>
      </c>
      <c r="B32" s="64">
        <v>45988</v>
      </c>
      <c r="C32" s="63" t="s">
        <v>60</v>
      </c>
      <c r="D32" s="63" t="s">
        <v>108</v>
      </c>
    </row>
    <row r="33" spans="1:4">
      <c r="A33" s="63" t="s">
        <v>66</v>
      </c>
      <c r="B33" s="64">
        <v>46016</v>
      </c>
      <c r="C33" s="63" t="s">
        <v>61</v>
      </c>
      <c r="D33" s="63" t="s">
        <v>108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6819-3FDB-4E59-B1DF-39497A974838}">
  <dimension ref="A1:U31"/>
  <sheetViews>
    <sheetView workbookViewId="0">
      <selection activeCell="B9" sqref="B9"/>
    </sheetView>
  </sheetViews>
  <sheetFormatPr defaultColWidth="9.140625" defaultRowHeight="14.45"/>
  <cols>
    <col min="1" max="2" width="11.42578125" style="85" bestFit="1" customWidth="1"/>
    <col min="3" max="3" width="24.140625" style="85" bestFit="1" customWidth="1"/>
    <col min="4" max="16384" width="9.140625" style="85"/>
  </cols>
  <sheetData>
    <row r="1" spans="1:18">
      <c r="A1" s="162" t="s">
        <v>135</v>
      </c>
      <c r="B1" s="163"/>
      <c r="C1" s="164"/>
    </row>
    <row r="2" spans="1:18">
      <c r="A2" s="89" t="s">
        <v>136</v>
      </c>
      <c r="B2" s="88" t="s">
        <v>137</v>
      </c>
      <c r="C2" s="90" t="s">
        <v>138</v>
      </c>
    </row>
    <row r="3" spans="1:18">
      <c r="A3" s="87" t="s">
        <v>66</v>
      </c>
      <c r="B3" s="91">
        <v>46023</v>
      </c>
      <c r="C3" s="87" t="s">
        <v>37</v>
      </c>
    </row>
    <row r="4" spans="1:18">
      <c r="A4" s="86" t="s">
        <v>63</v>
      </c>
      <c r="B4" s="92">
        <v>46045</v>
      </c>
      <c r="C4" s="86" t="s">
        <v>40</v>
      </c>
    </row>
    <row r="5" spans="1:18">
      <c r="A5" s="86" t="s">
        <v>62</v>
      </c>
      <c r="B5" s="93">
        <v>46048</v>
      </c>
      <c r="C5" s="86" t="s">
        <v>139</v>
      </c>
    </row>
    <row r="6" spans="1:18">
      <c r="A6" s="86" t="s">
        <v>64</v>
      </c>
      <c r="B6" s="93">
        <v>46085</v>
      </c>
      <c r="C6" s="86" t="s">
        <v>42</v>
      </c>
    </row>
    <row r="7" spans="1:18">
      <c r="A7" s="86" t="s">
        <v>66</v>
      </c>
      <c r="B7" s="93">
        <v>46107</v>
      </c>
      <c r="C7" s="86" t="s">
        <v>45</v>
      </c>
    </row>
    <row r="8" spans="1:18">
      <c r="A8" s="86" t="s">
        <v>111</v>
      </c>
      <c r="B8" s="93">
        <v>46112</v>
      </c>
      <c r="C8" s="86" t="s">
        <v>117</v>
      </c>
    </row>
    <row r="9" spans="1:18">
      <c r="A9" s="86" t="s">
        <v>63</v>
      </c>
      <c r="B9" s="93">
        <v>46115</v>
      </c>
      <c r="C9" s="86" t="s">
        <v>43</v>
      </c>
    </row>
    <row r="10" spans="1:18">
      <c r="A10" s="86" t="s">
        <v>111</v>
      </c>
      <c r="B10" s="93">
        <v>46126</v>
      </c>
      <c r="C10" s="97" t="s">
        <v>140</v>
      </c>
    </row>
    <row r="11" spans="1:18" ht="15" customHeight="1">
      <c r="A11" s="86" t="s">
        <v>63</v>
      </c>
      <c r="B11" s="96">
        <v>46143</v>
      </c>
      <c r="C11" s="86" t="s">
        <v>141</v>
      </c>
      <c r="D11" s="98"/>
      <c r="E11" s="165" t="s">
        <v>142</v>
      </c>
      <c r="F11" s="166"/>
      <c r="G11" s="166"/>
      <c r="H11" s="166"/>
      <c r="I11" s="166"/>
      <c r="J11" s="166"/>
      <c r="K11" s="166"/>
      <c r="L11" s="166"/>
      <c r="M11" s="166"/>
      <c r="N11" s="167"/>
      <c r="O11" s="99"/>
      <c r="P11" s="99"/>
      <c r="Q11" s="99"/>
      <c r="R11" s="95"/>
    </row>
    <row r="12" spans="1:18">
      <c r="A12" s="86" t="s">
        <v>64</v>
      </c>
      <c r="B12" s="93">
        <v>46169</v>
      </c>
      <c r="C12" s="87" t="s">
        <v>143</v>
      </c>
      <c r="D12" s="98"/>
      <c r="E12" s="168"/>
      <c r="F12" s="169"/>
      <c r="G12" s="169"/>
      <c r="H12" s="169"/>
      <c r="I12" s="169"/>
      <c r="J12" s="169"/>
      <c r="K12" s="169"/>
      <c r="L12" s="169"/>
      <c r="M12" s="169"/>
      <c r="N12" s="170"/>
      <c r="O12" s="99"/>
      <c r="P12" s="99"/>
      <c r="Q12" s="99"/>
    </row>
    <row r="13" spans="1:18">
      <c r="A13" s="86" t="s">
        <v>66</v>
      </c>
      <c r="B13" s="93">
        <v>46219</v>
      </c>
      <c r="C13" s="86" t="s">
        <v>144</v>
      </c>
      <c r="E13" s="171"/>
      <c r="F13" s="172"/>
      <c r="G13" s="172"/>
      <c r="H13" s="172"/>
      <c r="I13" s="172"/>
      <c r="J13" s="172"/>
      <c r="K13" s="172"/>
      <c r="L13" s="172"/>
      <c r="M13" s="172"/>
      <c r="N13" s="173"/>
    </row>
    <row r="14" spans="1:18">
      <c r="A14" s="86" t="s">
        <v>63</v>
      </c>
      <c r="B14" s="93">
        <v>46262</v>
      </c>
      <c r="C14" s="86" t="s">
        <v>51</v>
      </c>
    </row>
    <row r="15" spans="1:18">
      <c r="A15" s="86" t="s">
        <v>63</v>
      </c>
      <c r="B15" s="93">
        <v>46269</v>
      </c>
      <c r="C15" s="86" t="s">
        <v>52</v>
      </c>
    </row>
    <row r="16" spans="1:18">
      <c r="A16" s="86" t="s">
        <v>62</v>
      </c>
      <c r="B16" s="93">
        <v>46272</v>
      </c>
      <c r="C16" s="86" t="s">
        <v>53</v>
      </c>
    </row>
    <row r="17" spans="1:21">
      <c r="A17" s="86" t="s">
        <v>63</v>
      </c>
      <c r="B17" s="93">
        <v>46297</v>
      </c>
      <c r="C17" s="86" t="s">
        <v>145</v>
      </c>
    </row>
    <row r="18" spans="1:21">
      <c r="A18" s="86" t="s">
        <v>111</v>
      </c>
      <c r="B18" s="93">
        <v>46315</v>
      </c>
      <c r="C18" s="86" t="s">
        <v>146</v>
      </c>
    </row>
    <row r="19" spans="1:21">
      <c r="A19" s="86" t="s">
        <v>62</v>
      </c>
      <c r="B19" s="92">
        <v>46335</v>
      </c>
      <c r="C19" s="86" t="s">
        <v>147</v>
      </c>
    </row>
    <row r="20" spans="1:21">
      <c r="A20" s="86" t="s">
        <v>111</v>
      </c>
      <c r="B20" s="93">
        <v>46350</v>
      </c>
      <c r="C20" s="86" t="s">
        <v>59</v>
      </c>
    </row>
    <row r="21" spans="1:21">
      <c r="A21" s="86" t="s">
        <v>66</v>
      </c>
      <c r="B21" s="93">
        <v>46352</v>
      </c>
      <c r="C21" s="86" t="s">
        <v>60</v>
      </c>
    </row>
    <row r="22" spans="1:21">
      <c r="A22" s="86" t="s">
        <v>63</v>
      </c>
      <c r="B22" s="93">
        <v>46381</v>
      </c>
      <c r="C22" s="86" t="s">
        <v>61</v>
      </c>
    </row>
    <row r="27" spans="1:21">
      <c r="B27" s="100"/>
      <c r="C27" s="101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1"/>
      <c r="S27" s="100"/>
      <c r="T27" s="100"/>
      <c r="U27" s="100"/>
    </row>
    <row r="31" spans="1:21">
      <c r="C31" s="94"/>
    </row>
  </sheetData>
  <mergeCells count="2">
    <mergeCell ref="A1:C1"/>
    <mergeCell ref="E11:N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B91E-7A8D-44F1-AC38-6D45BAF37872}">
  <dimension ref="A1:AF37"/>
  <sheetViews>
    <sheetView zoomScaleNormal="100" workbookViewId="0">
      <pane xSplit="4" ySplit="4" topLeftCell="AA15" activePane="bottomRight" state="frozen"/>
      <selection pane="bottomRight" activeCell="AF17" sqref="AF17"/>
      <selection pane="bottomLeft" activeCell="A5" sqref="A5"/>
      <selection pane="topRight" activeCell="E1" sqref="E1"/>
    </sheetView>
  </sheetViews>
  <sheetFormatPr defaultRowHeight="14.45"/>
  <cols>
    <col min="1" max="1" width="11.85546875" customWidth="1"/>
    <col min="2" max="2" width="10.42578125" bestFit="1" customWidth="1"/>
    <col min="3" max="3" width="24.85546875" bestFit="1" customWidth="1"/>
    <col min="4" max="4" width="16.140625" customWidth="1"/>
    <col min="5" max="5" width="11.85546875" bestFit="1" customWidth="1"/>
    <col min="6" max="6" width="28.42578125" bestFit="1" customWidth="1"/>
    <col min="7" max="7" width="18.28515625" bestFit="1" customWidth="1"/>
    <col min="8" max="8" width="17.140625" customWidth="1"/>
    <col min="9" max="9" width="16.5703125" customWidth="1"/>
    <col min="10" max="10" width="16.28515625" bestFit="1" customWidth="1"/>
    <col min="11" max="11" width="17.7109375" customWidth="1"/>
    <col min="12" max="12" width="15" bestFit="1" customWidth="1"/>
    <col min="13" max="13" width="11.42578125" customWidth="1"/>
    <col min="14" max="14" width="11.28515625" customWidth="1"/>
    <col min="15" max="15" width="16.7109375" bestFit="1" customWidth="1"/>
    <col min="16" max="16" width="16.7109375" customWidth="1"/>
    <col min="17" max="17" width="17.28515625" bestFit="1" customWidth="1"/>
    <col min="18" max="18" width="13.42578125" bestFit="1" customWidth="1"/>
    <col min="19" max="19" width="23" bestFit="1" customWidth="1"/>
    <col min="20" max="20" width="16.5703125" bestFit="1" customWidth="1"/>
    <col min="21" max="21" width="29.42578125" customWidth="1"/>
    <col min="22" max="22" width="17.85546875" bestFit="1" customWidth="1"/>
    <col min="23" max="23" width="14.28515625" bestFit="1" customWidth="1"/>
    <col min="24" max="24" width="23.85546875" bestFit="1" customWidth="1"/>
    <col min="25" max="25" width="14.5703125" bestFit="1" customWidth="1"/>
    <col min="26" max="26" width="15.28515625" bestFit="1" customWidth="1"/>
    <col min="27" max="27" width="23.42578125" customWidth="1"/>
    <col min="28" max="28" width="15.5703125" customWidth="1"/>
    <col min="29" max="29" width="16.42578125" bestFit="1" customWidth="1"/>
    <col min="30" max="30" width="18.28515625" bestFit="1" customWidth="1"/>
    <col min="31" max="31" width="16.28515625" bestFit="1" customWidth="1"/>
    <col min="32" max="32" width="13.5703125" bestFit="1" customWidth="1"/>
  </cols>
  <sheetData>
    <row r="1" spans="1:32" ht="23.45">
      <c r="A1" s="1" t="s">
        <v>28</v>
      </c>
    </row>
    <row r="2" spans="1:32">
      <c r="A2" s="179" t="s">
        <v>29</v>
      </c>
      <c r="B2" s="180" t="s">
        <v>30</v>
      </c>
      <c r="C2" s="183" t="s">
        <v>31</v>
      </c>
      <c r="D2" s="178" t="s">
        <v>36</v>
      </c>
      <c r="E2" s="183" t="s">
        <v>32</v>
      </c>
      <c r="F2" s="183" t="s">
        <v>33</v>
      </c>
      <c r="G2" s="183" t="s">
        <v>34</v>
      </c>
      <c r="H2" s="175" t="s">
        <v>35</v>
      </c>
      <c r="I2" s="47">
        <v>45658</v>
      </c>
      <c r="J2" s="47">
        <v>45663</v>
      </c>
      <c r="K2" s="47">
        <v>45700</v>
      </c>
      <c r="L2" s="47">
        <v>45714</v>
      </c>
      <c r="M2" s="47">
        <v>45730</v>
      </c>
      <c r="N2" s="47">
        <v>45747</v>
      </c>
      <c r="O2" s="47">
        <v>45757</v>
      </c>
      <c r="P2" s="47">
        <v>45761</v>
      </c>
      <c r="Q2" s="47">
        <v>45776</v>
      </c>
      <c r="R2" s="47">
        <v>45777</v>
      </c>
      <c r="S2" s="47">
        <v>45806</v>
      </c>
      <c r="T2" s="47">
        <v>45819</v>
      </c>
      <c r="U2" s="61">
        <v>45869</v>
      </c>
      <c r="V2" s="60">
        <v>45884</v>
      </c>
      <c r="W2" s="47">
        <v>45901</v>
      </c>
      <c r="X2" s="47">
        <v>45922</v>
      </c>
      <c r="Y2" s="47">
        <v>45923</v>
      </c>
      <c r="Z2" s="54">
        <v>45932</v>
      </c>
      <c r="AA2" s="47">
        <v>45937</v>
      </c>
      <c r="AB2" s="47">
        <v>45950</v>
      </c>
      <c r="AC2" s="47">
        <v>45952</v>
      </c>
      <c r="AD2" s="47">
        <v>45966</v>
      </c>
      <c r="AE2" s="47">
        <v>45988</v>
      </c>
      <c r="AF2" s="47">
        <v>46016</v>
      </c>
    </row>
    <row r="3" spans="1:32">
      <c r="A3" s="179"/>
      <c r="B3" s="181"/>
      <c r="C3" s="184"/>
      <c r="D3" s="178"/>
      <c r="E3" s="184"/>
      <c r="F3" s="184"/>
      <c r="G3" s="184"/>
      <c r="H3" s="176"/>
      <c r="I3" s="48" t="s">
        <v>37</v>
      </c>
      <c r="J3" s="48" t="s">
        <v>148</v>
      </c>
      <c r="K3" s="48" t="s">
        <v>114</v>
      </c>
      <c r="L3" s="48" t="s">
        <v>115</v>
      </c>
      <c r="M3" s="48" t="s">
        <v>42</v>
      </c>
      <c r="N3" s="48" t="s">
        <v>149</v>
      </c>
      <c r="O3" s="48" t="s">
        <v>117</v>
      </c>
      <c r="P3" s="48" t="s">
        <v>118</v>
      </c>
      <c r="Q3" s="48" t="s">
        <v>119</v>
      </c>
      <c r="R3" s="48" t="s">
        <v>150</v>
      </c>
      <c r="S3" s="48" t="s">
        <v>121</v>
      </c>
      <c r="T3" s="48" t="s">
        <v>122</v>
      </c>
      <c r="U3" s="62" t="s">
        <v>123</v>
      </c>
      <c r="V3" s="60" t="s">
        <v>124</v>
      </c>
      <c r="W3" s="48" t="s">
        <v>126</v>
      </c>
      <c r="X3" s="48" t="s">
        <v>128</v>
      </c>
      <c r="Y3" s="48" t="s">
        <v>130</v>
      </c>
      <c r="Z3" s="54" t="s">
        <v>131</v>
      </c>
      <c r="AA3" s="48" t="s">
        <v>132</v>
      </c>
      <c r="AB3" s="48" t="s">
        <v>151</v>
      </c>
      <c r="AC3" s="48" t="s">
        <v>152</v>
      </c>
      <c r="AD3" s="48" t="s">
        <v>59</v>
      </c>
      <c r="AE3" s="48" t="s">
        <v>60</v>
      </c>
      <c r="AF3" s="48" t="s">
        <v>61</v>
      </c>
    </row>
    <row r="4" spans="1:32">
      <c r="A4" s="179"/>
      <c r="B4" s="182"/>
      <c r="C4" s="185"/>
      <c r="D4" s="178"/>
      <c r="E4" s="185"/>
      <c r="F4" s="185"/>
      <c r="G4" s="185"/>
      <c r="H4" s="177"/>
      <c r="I4" s="48" t="str">
        <f t="shared" ref="I4:J4" si="0">CHOOSE(WEEKDAY(I2),"Sunday","Monday","Tuesday","Wednesday","Thursday","Friday","Saturday")</f>
        <v>Wednesday</v>
      </c>
      <c r="J4" s="48" t="str">
        <f t="shared" si="0"/>
        <v>Monday</v>
      </c>
      <c r="K4" s="48" t="str">
        <f>CHOOSE(WEEKDAY(K2),"Sunday","Monday","Tuesday","Wednesday","Thursday","Friday","Saturday")</f>
        <v>Wednesday</v>
      </c>
      <c r="L4" s="48" t="str">
        <f>CHOOSE(WEEKDAY(L2),"Sunday","Monday","Tuesday","Wednesday","Thursday","Friday","Saturday")</f>
        <v>Wednesday</v>
      </c>
      <c r="M4" s="48" t="str">
        <f t="shared" ref="M4:AF4" si="1">CHOOSE(WEEKDAY(M2),"Sunday","Monday","Tuesday","Wednesday","Thursday","Friday","Saturday")</f>
        <v>Friday</v>
      </c>
      <c r="N4" s="48" t="str">
        <f t="shared" si="1"/>
        <v>Monday</v>
      </c>
      <c r="O4" s="48" t="str">
        <f t="shared" si="1"/>
        <v>Thursday</v>
      </c>
      <c r="P4" s="48" t="str">
        <f>CHOOSE(WEEKDAY(P2),"Sunday","Monday","Tuesday","Wednesday","Thursday","Friday","Saturday")</f>
        <v>Monday</v>
      </c>
      <c r="Q4" s="48" t="str">
        <f t="shared" si="1"/>
        <v>Tuesday</v>
      </c>
      <c r="R4" s="48" t="str">
        <f t="shared" si="1"/>
        <v>Wednesday</v>
      </c>
      <c r="S4" s="48" t="str">
        <f t="shared" si="1"/>
        <v>Thursday</v>
      </c>
      <c r="T4" s="48" t="str">
        <f t="shared" si="1"/>
        <v>Wednesday</v>
      </c>
      <c r="U4" s="48" t="str">
        <f t="shared" si="1"/>
        <v>Thursday</v>
      </c>
      <c r="V4" s="60" t="str">
        <f t="shared" si="1"/>
        <v>Friday</v>
      </c>
      <c r="W4" s="48" t="str">
        <f t="shared" si="1"/>
        <v>Monday</v>
      </c>
      <c r="X4" s="48" t="str">
        <f t="shared" si="1"/>
        <v>Monday</v>
      </c>
      <c r="Y4" s="48" t="str">
        <f t="shared" si="1"/>
        <v>Tuesday</v>
      </c>
      <c r="Z4" s="54" t="str">
        <f t="shared" ref="Z4:AA4" si="2">CHOOSE(WEEKDAY(Z2),"Sunday","Monday","Tuesday","Wednesday","Thursday","Friday","Saturday")</f>
        <v>Thursday</v>
      </c>
      <c r="AA4" s="48" t="str">
        <f t="shared" si="2"/>
        <v>Tuesday</v>
      </c>
      <c r="AB4" s="48" t="str">
        <f t="shared" si="1"/>
        <v>Monday</v>
      </c>
      <c r="AC4" s="48" t="str">
        <f t="shared" si="1"/>
        <v>Wednesday</v>
      </c>
      <c r="AD4" s="48" t="str">
        <f t="shared" si="1"/>
        <v>Wednesday</v>
      </c>
      <c r="AE4" s="48" t="str">
        <f t="shared" si="1"/>
        <v>Thursday</v>
      </c>
      <c r="AF4" s="48" t="str">
        <f t="shared" si="1"/>
        <v>Thursday</v>
      </c>
    </row>
    <row r="5" spans="1:32">
      <c r="A5" s="17">
        <v>1</v>
      </c>
      <c r="B5" s="17">
        <v>29030504</v>
      </c>
      <c r="C5" s="18" t="s">
        <v>68</v>
      </c>
      <c r="D5" s="2">
        <f t="shared" ref="D5:D33" si="3">COUNTA(I5:AF5)</f>
        <v>8</v>
      </c>
      <c r="E5" s="19">
        <v>42772</v>
      </c>
      <c r="F5" s="18" t="s">
        <v>69</v>
      </c>
      <c r="G5" s="18" t="s">
        <v>70</v>
      </c>
      <c r="H5" s="49" t="s">
        <v>71</v>
      </c>
      <c r="I5" s="20"/>
      <c r="J5" s="20"/>
      <c r="K5" s="20"/>
      <c r="L5" s="20"/>
      <c r="M5" s="20" t="s">
        <v>72</v>
      </c>
      <c r="N5" s="20"/>
      <c r="O5" s="20"/>
      <c r="P5" s="20"/>
      <c r="Q5" s="20"/>
      <c r="R5" s="20"/>
      <c r="S5" s="20"/>
      <c r="T5" s="20"/>
      <c r="U5" s="20"/>
      <c r="V5" s="59" t="s">
        <v>72</v>
      </c>
      <c r="W5" s="20" t="s">
        <v>72</v>
      </c>
      <c r="X5" s="20"/>
      <c r="Y5" s="20"/>
      <c r="Z5" s="55" t="s">
        <v>72</v>
      </c>
      <c r="AA5" s="20"/>
      <c r="AB5" s="20" t="s">
        <v>72</v>
      </c>
      <c r="AC5" s="20" t="s">
        <v>72</v>
      </c>
      <c r="AD5" s="20" t="s">
        <v>72</v>
      </c>
      <c r="AE5" s="20" t="s">
        <v>72</v>
      </c>
      <c r="AF5" s="20"/>
    </row>
    <row r="6" spans="1:32">
      <c r="A6" s="2">
        <v>2</v>
      </c>
      <c r="B6" s="2">
        <v>29060144</v>
      </c>
      <c r="C6" s="3" t="s">
        <v>73</v>
      </c>
      <c r="D6" s="2">
        <f t="shared" si="3"/>
        <v>8</v>
      </c>
      <c r="E6" s="4">
        <v>44774</v>
      </c>
      <c r="F6" s="3" t="s">
        <v>153</v>
      </c>
      <c r="G6" s="3" t="s">
        <v>68</v>
      </c>
      <c r="H6" s="50" t="s">
        <v>71</v>
      </c>
      <c r="I6" s="20"/>
      <c r="J6" s="20"/>
      <c r="K6" s="20"/>
      <c r="L6" s="20"/>
      <c r="M6" s="20" t="s">
        <v>72</v>
      </c>
      <c r="N6" s="20" t="s">
        <v>72</v>
      </c>
      <c r="O6" s="20"/>
      <c r="P6" s="20"/>
      <c r="Q6" s="20"/>
      <c r="R6" s="20"/>
      <c r="S6" s="20"/>
      <c r="T6" s="20" t="s">
        <v>72</v>
      </c>
      <c r="U6" s="20"/>
      <c r="V6" s="59" t="s">
        <v>72</v>
      </c>
      <c r="W6" s="20" t="s">
        <v>72</v>
      </c>
      <c r="X6" s="20"/>
      <c r="Y6" s="20"/>
      <c r="Z6" s="55" t="s">
        <v>72</v>
      </c>
      <c r="AA6" s="20"/>
      <c r="AB6" s="20" t="s">
        <v>72</v>
      </c>
      <c r="AC6" s="20"/>
      <c r="AD6" s="20"/>
      <c r="AE6" s="20"/>
      <c r="AF6" s="20" t="s">
        <v>72</v>
      </c>
    </row>
    <row r="7" spans="1:32">
      <c r="A7" s="17">
        <v>3</v>
      </c>
      <c r="B7" s="2">
        <v>29060183</v>
      </c>
      <c r="C7" s="3" t="s">
        <v>75</v>
      </c>
      <c r="D7" s="2">
        <f t="shared" si="3"/>
        <v>8</v>
      </c>
      <c r="E7" s="4">
        <v>44767</v>
      </c>
      <c r="F7" s="3" t="s">
        <v>154</v>
      </c>
      <c r="G7" s="3" t="s">
        <v>73</v>
      </c>
      <c r="H7" s="50" t="s">
        <v>71</v>
      </c>
      <c r="I7" s="20"/>
      <c r="J7" s="20"/>
      <c r="K7" s="20"/>
      <c r="L7" s="20"/>
      <c r="M7" s="20" t="s">
        <v>72</v>
      </c>
      <c r="N7" s="20"/>
      <c r="O7" s="20"/>
      <c r="P7" s="20"/>
      <c r="Q7" s="20"/>
      <c r="R7" s="20"/>
      <c r="S7" s="20"/>
      <c r="T7" s="20"/>
      <c r="U7" s="20"/>
      <c r="V7" s="59" t="s">
        <v>72</v>
      </c>
      <c r="W7" s="20"/>
      <c r="X7" s="20" t="s">
        <v>72</v>
      </c>
      <c r="Y7" s="20"/>
      <c r="Z7" s="55" t="s">
        <v>72</v>
      </c>
      <c r="AA7" s="20"/>
      <c r="AB7" s="20" t="s">
        <v>72</v>
      </c>
      <c r="AC7" s="20"/>
      <c r="AD7" s="20" t="s">
        <v>72</v>
      </c>
      <c r="AE7" s="20" t="s">
        <v>72</v>
      </c>
      <c r="AF7" s="20" t="s">
        <v>72</v>
      </c>
    </row>
    <row r="8" spans="1:32">
      <c r="A8" s="2">
        <v>4</v>
      </c>
      <c r="B8" s="2">
        <v>29059775</v>
      </c>
      <c r="C8" s="3" t="s">
        <v>77</v>
      </c>
      <c r="D8" s="2">
        <f t="shared" si="3"/>
        <v>8</v>
      </c>
      <c r="E8" s="4">
        <v>44781</v>
      </c>
      <c r="F8" s="3" t="s">
        <v>154</v>
      </c>
      <c r="G8" s="3" t="s">
        <v>78</v>
      </c>
      <c r="H8" s="50" t="s">
        <v>71</v>
      </c>
      <c r="I8" s="20" t="s">
        <v>72</v>
      </c>
      <c r="J8" s="20"/>
      <c r="K8" s="20"/>
      <c r="L8" s="20"/>
      <c r="M8" s="20" t="s">
        <v>72</v>
      </c>
      <c r="N8" s="20"/>
      <c r="O8" s="20"/>
      <c r="P8" s="20"/>
      <c r="Q8" s="20"/>
      <c r="R8" s="20"/>
      <c r="S8" s="20"/>
      <c r="T8" s="20"/>
      <c r="U8" s="20"/>
      <c r="V8" s="59" t="s">
        <v>72</v>
      </c>
      <c r="W8" s="20"/>
      <c r="X8" s="20"/>
      <c r="Y8" s="20"/>
      <c r="Z8" s="55" t="s">
        <v>72</v>
      </c>
      <c r="AA8" s="20"/>
      <c r="AB8" s="20" t="s">
        <v>72</v>
      </c>
      <c r="AC8" s="20" t="s">
        <v>72</v>
      </c>
      <c r="AD8" s="20" t="s">
        <v>72</v>
      </c>
      <c r="AE8" s="20"/>
      <c r="AF8" s="20" t="s">
        <v>72</v>
      </c>
    </row>
    <row r="9" spans="1:32">
      <c r="A9" s="17">
        <v>5</v>
      </c>
      <c r="B9" s="2">
        <v>29059889</v>
      </c>
      <c r="C9" s="3" t="s">
        <v>78</v>
      </c>
      <c r="D9" s="2">
        <f t="shared" si="3"/>
        <v>8</v>
      </c>
      <c r="E9" s="4">
        <v>44795</v>
      </c>
      <c r="F9" s="3" t="s">
        <v>153</v>
      </c>
      <c r="G9" s="3" t="s">
        <v>68</v>
      </c>
      <c r="H9" s="50" t="s">
        <v>71</v>
      </c>
      <c r="I9" s="20" t="s">
        <v>72</v>
      </c>
      <c r="J9" s="20"/>
      <c r="K9" s="20"/>
      <c r="L9" s="20" t="s">
        <v>72</v>
      </c>
      <c r="M9" s="20" t="s">
        <v>72</v>
      </c>
      <c r="N9" s="20"/>
      <c r="O9" s="20"/>
      <c r="P9" s="20"/>
      <c r="Q9" s="20"/>
      <c r="R9" s="20"/>
      <c r="S9" s="20"/>
      <c r="T9" s="20"/>
      <c r="U9" s="20"/>
      <c r="V9" s="59" t="s">
        <v>72</v>
      </c>
      <c r="W9" s="20"/>
      <c r="X9" s="20"/>
      <c r="Y9" s="20"/>
      <c r="Z9" s="55" t="s">
        <v>72</v>
      </c>
      <c r="AA9" s="20"/>
      <c r="AB9" s="20" t="s">
        <v>72</v>
      </c>
      <c r="AC9" s="20" t="s">
        <v>72</v>
      </c>
      <c r="AD9" s="20"/>
      <c r="AE9" s="20" t="s">
        <v>72</v>
      </c>
      <c r="AF9" s="20"/>
    </row>
    <row r="10" spans="1:32">
      <c r="A10" s="2">
        <v>6</v>
      </c>
      <c r="B10" s="2">
        <v>29061449</v>
      </c>
      <c r="C10" s="3" t="s">
        <v>79</v>
      </c>
      <c r="D10" s="2">
        <f t="shared" si="3"/>
        <v>8</v>
      </c>
      <c r="E10" s="4">
        <v>44834</v>
      </c>
      <c r="F10" s="3" t="s">
        <v>154</v>
      </c>
      <c r="G10" s="3" t="s">
        <v>68</v>
      </c>
      <c r="H10" s="50" t="s">
        <v>71</v>
      </c>
      <c r="I10" s="20"/>
      <c r="J10" s="20"/>
      <c r="K10" s="20"/>
      <c r="L10" s="20"/>
      <c r="M10" s="20" t="s">
        <v>72</v>
      </c>
      <c r="N10" s="20"/>
      <c r="O10" s="20"/>
      <c r="P10" s="20"/>
      <c r="Q10" s="20"/>
      <c r="R10" s="20"/>
      <c r="S10" s="20"/>
      <c r="T10" s="20"/>
      <c r="U10" s="20"/>
      <c r="V10" s="59" t="s">
        <v>72</v>
      </c>
      <c r="W10" s="20"/>
      <c r="X10" s="20"/>
      <c r="Y10" s="20"/>
      <c r="Z10" s="55" t="s">
        <v>72</v>
      </c>
      <c r="AA10" s="20" t="s">
        <v>72</v>
      </c>
      <c r="AB10" s="20" t="s">
        <v>72</v>
      </c>
      <c r="AC10" s="20" t="s">
        <v>72</v>
      </c>
      <c r="AD10" s="20"/>
      <c r="AE10" s="20" t="s">
        <v>72</v>
      </c>
      <c r="AF10" s="20" t="s">
        <v>72</v>
      </c>
    </row>
    <row r="11" spans="1:32">
      <c r="A11" s="17">
        <v>7</v>
      </c>
      <c r="B11" s="2">
        <v>29061549</v>
      </c>
      <c r="C11" s="5" t="s">
        <v>80</v>
      </c>
      <c r="D11" s="2">
        <f t="shared" si="3"/>
        <v>8</v>
      </c>
      <c r="E11" s="4">
        <v>44851</v>
      </c>
      <c r="F11" s="3" t="s">
        <v>154</v>
      </c>
      <c r="G11" s="3" t="s">
        <v>68</v>
      </c>
      <c r="H11" s="50" t="s">
        <v>71</v>
      </c>
      <c r="I11" s="20"/>
      <c r="J11" s="20"/>
      <c r="K11" s="20"/>
      <c r="L11" s="20"/>
      <c r="M11" s="20" t="s">
        <v>72</v>
      </c>
      <c r="N11" s="20"/>
      <c r="O11" s="20"/>
      <c r="P11" s="20" t="s">
        <v>72</v>
      </c>
      <c r="Q11" s="20"/>
      <c r="R11" s="20"/>
      <c r="S11" s="20"/>
      <c r="T11" s="20"/>
      <c r="U11" s="20"/>
      <c r="V11" s="59" t="s">
        <v>72</v>
      </c>
      <c r="W11" s="20"/>
      <c r="X11" s="20"/>
      <c r="Y11" s="20"/>
      <c r="Z11" s="55" t="s">
        <v>72</v>
      </c>
      <c r="AA11" s="20"/>
      <c r="AB11" s="20" t="s">
        <v>72</v>
      </c>
      <c r="AC11" s="20" t="s">
        <v>72</v>
      </c>
      <c r="AD11" s="20"/>
      <c r="AE11" s="20" t="s">
        <v>72</v>
      </c>
      <c r="AF11" s="20" t="s">
        <v>72</v>
      </c>
    </row>
    <row r="12" spans="1:32">
      <c r="A12" s="2">
        <v>8</v>
      </c>
      <c r="B12" s="2">
        <v>29062478</v>
      </c>
      <c r="C12" s="5" t="s">
        <v>81</v>
      </c>
      <c r="D12" s="2">
        <f t="shared" si="3"/>
        <v>8</v>
      </c>
      <c r="E12" s="4">
        <v>44900</v>
      </c>
      <c r="F12" s="3" t="s">
        <v>154</v>
      </c>
      <c r="G12" s="3" t="s">
        <v>68</v>
      </c>
      <c r="H12" s="50" t="s">
        <v>71</v>
      </c>
      <c r="I12" s="20" t="s">
        <v>72</v>
      </c>
      <c r="J12" s="20"/>
      <c r="K12" s="20"/>
      <c r="L12" s="20"/>
      <c r="M12" s="20" t="s">
        <v>72</v>
      </c>
      <c r="N12" s="20"/>
      <c r="O12" s="20"/>
      <c r="P12" s="20"/>
      <c r="Q12" s="20"/>
      <c r="R12" s="20"/>
      <c r="S12" s="20"/>
      <c r="T12" s="20" t="s">
        <v>72</v>
      </c>
      <c r="U12" s="20"/>
      <c r="V12" s="59" t="s">
        <v>72</v>
      </c>
      <c r="W12" s="20"/>
      <c r="X12" s="20"/>
      <c r="Y12" s="20"/>
      <c r="Z12" s="55" t="s">
        <v>72</v>
      </c>
      <c r="AA12" s="20"/>
      <c r="AB12" s="20" t="s">
        <v>72</v>
      </c>
      <c r="AC12" s="20" t="s">
        <v>72</v>
      </c>
      <c r="AD12" s="20"/>
      <c r="AE12" s="20"/>
      <c r="AF12" s="20" t="s">
        <v>72</v>
      </c>
    </row>
    <row r="13" spans="1:32">
      <c r="A13" s="17">
        <v>9</v>
      </c>
      <c r="B13" s="2">
        <v>29062806</v>
      </c>
      <c r="C13" s="5" t="s">
        <v>82</v>
      </c>
      <c r="D13" s="2">
        <f t="shared" si="3"/>
        <v>8</v>
      </c>
      <c r="E13" s="4">
        <v>44914</v>
      </c>
      <c r="F13" s="3" t="s">
        <v>154</v>
      </c>
      <c r="G13" s="3" t="s">
        <v>68</v>
      </c>
      <c r="H13" s="50" t="s">
        <v>71</v>
      </c>
      <c r="I13" s="20" t="s">
        <v>72</v>
      </c>
      <c r="J13" s="20"/>
      <c r="K13" s="20"/>
      <c r="L13" s="20"/>
      <c r="M13" s="20" t="s">
        <v>72</v>
      </c>
      <c r="N13" s="20"/>
      <c r="O13" s="20"/>
      <c r="P13" s="20"/>
      <c r="Q13" s="20"/>
      <c r="R13" s="20"/>
      <c r="S13" s="20"/>
      <c r="T13" s="20"/>
      <c r="U13" s="20"/>
      <c r="V13" s="59" t="s">
        <v>72</v>
      </c>
      <c r="W13" s="20"/>
      <c r="X13" s="20"/>
      <c r="Y13" s="20"/>
      <c r="Z13" s="55" t="s">
        <v>72</v>
      </c>
      <c r="AA13" s="20"/>
      <c r="AB13" s="20" t="s">
        <v>72</v>
      </c>
      <c r="AC13" s="20" t="s">
        <v>72</v>
      </c>
      <c r="AD13" s="20" t="s">
        <v>72</v>
      </c>
      <c r="AE13" s="20"/>
      <c r="AF13" s="20" t="s">
        <v>72</v>
      </c>
    </row>
    <row r="14" spans="1:32" s="76" customFormat="1">
      <c r="A14" s="69">
        <v>10</v>
      </c>
      <c r="B14" s="69">
        <v>29054870</v>
      </c>
      <c r="C14" s="70" t="s">
        <v>84</v>
      </c>
      <c r="D14" s="69">
        <f t="shared" si="3"/>
        <v>8</v>
      </c>
      <c r="E14" s="71">
        <v>44928</v>
      </c>
      <c r="F14" s="70" t="s">
        <v>154</v>
      </c>
      <c r="G14" s="70" t="s">
        <v>78</v>
      </c>
      <c r="H14" s="72" t="s">
        <v>71</v>
      </c>
      <c r="I14" s="73" t="s">
        <v>72</v>
      </c>
      <c r="J14" s="73"/>
      <c r="K14" s="73"/>
      <c r="L14" s="73"/>
      <c r="M14" s="73" t="s">
        <v>72</v>
      </c>
      <c r="N14" s="73"/>
      <c r="O14" s="73"/>
      <c r="P14" s="73" t="s">
        <v>72</v>
      </c>
      <c r="Q14" s="73"/>
      <c r="R14" s="73"/>
      <c r="S14" s="73"/>
      <c r="T14" s="73"/>
      <c r="U14" s="73"/>
      <c r="V14" s="74" t="s">
        <v>72</v>
      </c>
      <c r="W14" s="73" t="s">
        <v>72</v>
      </c>
      <c r="X14" s="73"/>
      <c r="Y14" s="73"/>
      <c r="Z14" s="75" t="s">
        <v>72</v>
      </c>
      <c r="AA14" s="73"/>
      <c r="AB14" s="73" t="s">
        <v>72</v>
      </c>
      <c r="AC14" s="73" t="s">
        <v>72</v>
      </c>
      <c r="AD14" s="73"/>
      <c r="AE14" s="73"/>
      <c r="AF14" s="73"/>
    </row>
    <row r="15" spans="1:32">
      <c r="A15" s="17">
        <v>11</v>
      </c>
      <c r="B15" s="2">
        <v>29063012</v>
      </c>
      <c r="C15" s="5" t="s">
        <v>85</v>
      </c>
      <c r="D15" s="2">
        <f t="shared" si="3"/>
        <v>8</v>
      </c>
      <c r="E15" s="4">
        <v>44935</v>
      </c>
      <c r="F15" s="3" t="s">
        <v>154</v>
      </c>
      <c r="G15" s="3" t="s">
        <v>68</v>
      </c>
      <c r="H15" s="50" t="s">
        <v>71</v>
      </c>
      <c r="I15" s="20"/>
      <c r="J15" s="20"/>
      <c r="K15" s="20"/>
      <c r="L15" s="20"/>
      <c r="M15" s="20" t="s">
        <v>72</v>
      </c>
      <c r="N15" s="20"/>
      <c r="O15" s="20"/>
      <c r="P15" s="20"/>
      <c r="Q15" s="20"/>
      <c r="R15" s="20"/>
      <c r="S15" s="20"/>
      <c r="T15" s="20" t="s">
        <v>72</v>
      </c>
      <c r="U15" s="20" t="s">
        <v>72</v>
      </c>
      <c r="V15" s="59" t="s">
        <v>72</v>
      </c>
      <c r="W15" s="20"/>
      <c r="X15" s="20"/>
      <c r="Y15" s="20"/>
      <c r="Z15" s="55" t="s">
        <v>72</v>
      </c>
      <c r="AA15" s="20"/>
      <c r="AB15" s="20" t="s">
        <v>72</v>
      </c>
      <c r="AC15" s="20" t="s">
        <v>72</v>
      </c>
      <c r="AD15" s="20"/>
      <c r="AE15" s="20"/>
      <c r="AF15" s="20" t="s">
        <v>72</v>
      </c>
    </row>
    <row r="16" spans="1:32">
      <c r="A16" s="2">
        <v>12</v>
      </c>
      <c r="B16" s="2">
        <v>29063200</v>
      </c>
      <c r="C16" s="5" t="s">
        <v>88</v>
      </c>
      <c r="D16" s="2">
        <f t="shared" si="3"/>
        <v>8</v>
      </c>
      <c r="E16" s="4">
        <v>44984</v>
      </c>
      <c r="F16" s="3" t="s">
        <v>154</v>
      </c>
      <c r="G16" s="3" t="s">
        <v>78</v>
      </c>
      <c r="H16" s="50" t="s">
        <v>71</v>
      </c>
      <c r="I16" s="20"/>
      <c r="J16" s="20"/>
      <c r="K16" s="20"/>
      <c r="L16" s="20" t="s">
        <v>72</v>
      </c>
      <c r="M16" s="20" t="s">
        <v>72</v>
      </c>
      <c r="N16" s="20"/>
      <c r="O16" s="20"/>
      <c r="P16" s="20"/>
      <c r="Q16" s="20"/>
      <c r="R16" s="20"/>
      <c r="S16" s="20"/>
      <c r="T16" s="20"/>
      <c r="U16" s="20"/>
      <c r="V16" s="59" t="s">
        <v>72</v>
      </c>
      <c r="W16" s="20" t="s">
        <v>72</v>
      </c>
      <c r="X16" s="20"/>
      <c r="Y16" s="20"/>
      <c r="Z16" s="55" t="s">
        <v>72</v>
      </c>
      <c r="AA16" s="20"/>
      <c r="AB16" s="20" t="s">
        <v>72</v>
      </c>
      <c r="AC16" s="20"/>
      <c r="AD16" s="20" t="s">
        <v>72</v>
      </c>
      <c r="AE16" s="20"/>
      <c r="AF16" s="20" t="s">
        <v>72</v>
      </c>
    </row>
    <row r="17" spans="1:32">
      <c r="A17" s="17">
        <v>13</v>
      </c>
      <c r="B17" s="2">
        <v>29063300</v>
      </c>
      <c r="C17" s="3" t="s">
        <v>89</v>
      </c>
      <c r="D17" s="2">
        <f t="shared" si="3"/>
        <v>8</v>
      </c>
      <c r="E17" s="4">
        <v>44998</v>
      </c>
      <c r="F17" s="3" t="s">
        <v>154</v>
      </c>
      <c r="G17" s="3" t="s">
        <v>73</v>
      </c>
      <c r="H17" s="50" t="s">
        <v>71</v>
      </c>
      <c r="I17" s="20"/>
      <c r="J17" s="20"/>
      <c r="K17" s="20"/>
      <c r="L17" s="20"/>
      <c r="M17" s="20" t="s">
        <v>72</v>
      </c>
      <c r="N17" s="20"/>
      <c r="O17" s="20"/>
      <c r="P17" s="20"/>
      <c r="Q17" s="20"/>
      <c r="R17" s="20"/>
      <c r="S17" s="20"/>
      <c r="T17" s="20"/>
      <c r="U17" s="20"/>
      <c r="V17" s="59" t="s">
        <v>72</v>
      </c>
      <c r="W17" s="20"/>
      <c r="X17" s="20"/>
      <c r="Y17" s="20" t="s">
        <v>72</v>
      </c>
      <c r="Z17" s="55" t="s">
        <v>72</v>
      </c>
      <c r="AA17" s="20"/>
      <c r="AB17" s="20" t="s">
        <v>72</v>
      </c>
      <c r="AC17" s="20" t="s">
        <v>72</v>
      </c>
      <c r="AD17" s="20"/>
      <c r="AE17" s="20" t="s">
        <v>72</v>
      </c>
      <c r="AF17" s="20" t="s">
        <v>72</v>
      </c>
    </row>
    <row r="18" spans="1:32">
      <c r="A18" s="2">
        <v>14</v>
      </c>
      <c r="B18" s="2">
        <v>29063769</v>
      </c>
      <c r="C18" s="5" t="s">
        <v>91</v>
      </c>
      <c r="D18" s="2">
        <f t="shared" si="3"/>
        <v>8</v>
      </c>
      <c r="E18" s="4">
        <v>45075</v>
      </c>
      <c r="F18" s="3" t="s">
        <v>154</v>
      </c>
      <c r="G18" s="3" t="s">
        <v>73</v>
      </c>
      <c r="H18" s="50" t="s">
        <v>71</v>
      </c>
      <c r="I18" s="20"/>
      <c r="J18" s="20"/>
      <c r="K18" s="20"/>
      <c r="L18" s="20"/>
      <c r="M18" s="20" t="s">
        <v>72</v>
      </c>
      <c r="N18" s="20"/>
      <c r="O18" s="20" t="s">
        <v>72</v>
      </c>
      <c r="P18" s="20"/>
      <c r="Q18" s="20"/>
      <c r="R18" s="20"/>
      <c r="S18" s="20"/>
      <c r="T18" s="20"/>
      <c r="U18" s="20"/>
      <c r="V18" s="59" t="s">
        <v>72</v>
      </c>
      <c r="W18" s="20"/>
      <c r="X18" s="20"/>
      <c r="Y18" s="20"/>
      <c r="Z18" s="55" t="s">
        <v>72</v>
      </c>
      <c r="AA18" s="20"/>
      <c r="AB18" s="20" t="s">
        <v>72</v>
      </c>
      <c r="AC18" s="20" t="s">
        <v>72</v>
      </c>
      <c r="AD18" s="20" t="s">
        <v>72</v>
      </c>
      <c r="AE18" s="20"/>
      <c r="AF18" s="20" t="s">
        <v>72</v>
      </c>
    </row>
    <row r="19" spans="1:32">
      <c r="A19" s="17">
        <v>15</v>
      </c>
      <c r="B19" s="2">
        <v>29066663</v>
      </c>
      <c r="C19" s="5" t="s">
        <v>92</v>
      </c>
      <c r="D19" s="2">
        <f t="shared" si="3"/>
        <v>8</v>
      </c>
      <c r="E19" s="4">
        <v>45273</v>
      </c>
      <c r="F19" s="3" t="s">
        <v>154</v>
      </c>
      <c r="G19" s="3" t="s">
        <v>78</v>
      </c>
      <c r="H19" s="50" t="s">
        <v>71</v>
      </c>
      <c r="I19" s="20" t="s">
        <v>72</v>
      </c>
      <c r="J19" s="20"/>
      <c r="K19" s="20"/>
      <c r="L19" s="20"/>
      <c r="M19" s="20" t="s">
        <v>72</v>
      </c>
      <c r="N19" s="20"/>
      <c r="O19" s="20"/>
      <c r="P19" s="20"/>
      <c r="Q19" s="20"/>
      <c r="R19" s="20" t="s">
        <v>72</v>
      </c>
      <c r="S19" s="20"/>
      <c r="T19" s="20"/>
      <c r="U19" s="20"/>
      <c r="V19" s="59" t="s">
        <v>72</v>
      </c>
      <c r="W19" s="20"/>
      <c r="X19" s="20"/>
      <c r="Y19" s="20"/>
      <c r="Z19" s="55" t="s">
        <v>72</v>
      </c>
      <c r="AA19" s="20"/>
      <c r="AB19" s="20" t="s">
        <v>72</v>
      </c>
      <c r="AC19" s="20"/>
      <c r="AD19" s="20"/>
      <c r="AE19" s="20" t="s">
        <v>72</v>
      </c>
      <c r="AF19" s="20" t="s">
        <v>72</v>
      </c>
    </row>
    <row r="20" spans="1:32">
      <c r="A20" s="2">
        <v>16</v>
      </c>
      <c r="B20" s="2">
        <v>29066544</v>
      </c>
      <c r="C20" s="5" t="s">
        <v>93</v>
      </c>
      <c r="D20" s="2">
        <f t="shared" si="3"/>
        <v>8</v>
      </c>
      <c r="E20" s="4">
        <v>45278</v>
      </c>
      <c r="F20" s="3" t="s">
        <v>154</v>
      </c>
      <c r="G20" s="3" t="s">
        <v>68</v>
      </c>
      <c r="H20" s="50" t="s">
        <v>71</v>
      </c>
      <c r="I20" s="20"/>
      <c r="J20" s="20"/>
      <c r="K20" s="20"/>
      <c r="L20" s="20"/>
      <c r="M20" s="20" t="s">
        <v>72</v>
      </c>
      <c r="N20" s="20"/>
      <c r="O20" s="20"/>
      <c r="P20" s="20" t="s">
        <v>72</v>
      </c>
      <c r="Q20" s="20"/>
      <c r="R20" s="20"/>
      <c r="S20" s="20" t="s">
        <v>72</v>
      </c>
      <c r="T20" s="20"/>
      <c r="U20" s="20"/>
      <c r="V20" s="59" t="s">
        <v>72</v>
      </c>
      <c r="W20" s="20" t="s">
        <v>72</v>
      </c>
      <c r="X20" s="20"/>
      <c r="Y20" s="20"/>
      <c r="Z20" s="55" t="s">
        <v>72</v>
      </c>
      <c r="AA20" s="20"/>
      <c r="AB20" s="20" t="s">
        <v>72</v>
      </c>
      <c r="AC20" s="20"/>
      <c r="AD20" s="20"/>
      <c r="AE20" s="20"/>
      <c r="AF20" s="20" t="s">
        <v>72</v>
      </c>
    </row>
    <row r="21" spans="1:32">
      <c r="A21" s="17">
        <v>17</v>
      </c>
      <c r="B21" s="2">
        <v>29069377</v>
      </c>
      <c r="C21" s="5" t="s">
        <v>94</v>
      </c>
      <c r="D21" s="2">
        <f t="shared" si="3"/>
        <v>8</v>
      </c>
      <c r="E21" s="4">
        <v>45481</v>
      </c>
      <c r="F21" s="3" t="s">
        <v>154</v>
      </c>
      <c r="G21" s="3" t="s">
        <v>73</v>
      </c>
      <c r="H21" s="50" t="s">
        <v>71</v>
      </c>
      <c r="I21" s="20"/>
      <c r="J21" s="20"/>
      <c r="K21" s="20"/>
      <c r="L21" s="20"/>
      <c r="M21" s="20" t="s">
        <v>72</v>
      </c>
      <c r="N21" s="20" t="s">
        <v>72</v>
      </c>
      <c r="O21" s="20"/>
      <c r="P21" s="20"/>
      <c r="Q21" s="20"/>
      <c r="R21" s="20"/>
      <c r="S21" s="20"/>
      <c r="T21" s="20" t="s">
        <v>72</v>
      </c>
      <c r="U21" s="20"/>
      <c r="V21" s="59" t="s">
        <v>72</v>
      </c>
      <c r="W21" s="20"/>
      <c r="X21" s="20"/>
      <c r="Y21" s="20"/>
      <c r="Z21" s="55" t="s">
        <v>72</v>
      </c>
      <c r="AA21" s="20"/>
      <c r="AB21" s="20" t="s">
        <v>72</v>
      </c>
      <c r="AC21" s="20"/>
      <c r="AD21" s="20" t="s">
        <v>72</v>
      </c>
      <c r="AE21" s="20"/>
      <c r="AF21" s="20" t="s">
        <v>72</v>
      </c>
    </row>
    <row r="22" spans="1:32" s="76" customFormat="1">
      <c r="A22" s="69">
        <v>18</v>
      </c>
      <c r="B22" s="69">
        <v>29069594</v>
      </c>
      <c r="C22" s="83" t="s">
        <v>95</v>
      </c>
      <c r="D22" s="69">
        <f t="shared" si="3"/>
        <v>8</v>
      </c>
      <c r="E22" s="71">
        <v>45495</v>
      </c>
      <c r="F22" s="70" t="s">
        <v>154</v>
      </c>
      <c r="G22" s="70" t="s">
        <v>68</v>
      </c>
      <c r="H22" s="72" t="s">
        <v>71</v>
      </c>
      <c r="I22" s="73" t="s">
        <v>72</v>
      </c>
      <c r="J22" s="73"/>
      <c r="K22" s="73"/>
      <c r="L22" s="73" t="s">
        <v>72</v>
      </c>
      <c r="M22" s="73" t="s">
        <v>72</v>
      </c>
      <c r="N22" s="73"/>
      <c r="O22" s="73"/>
      <c r="P22" s="73" t="s">
        <v>72</v>
      </c>
      <c r="Q22" s="73" t="s">
        <v>72</v>
      </c>
      <c r="R22" s="73"/>
      <c r="S22" s="73" t="s">
        <v>72</v>
      </c>
      <c r="T22" s="73"/>
      <c r="U22" s="73"/>
      <c r="V22" s="74" t="s">
        <v>72</v>
      </c>
      <c r="W22" s="73"/>
      <c r="X22" s="73"/>
      <c r="Y22" s="73"/>
      <c r="Z22" s="75" t="s">
        <v>72</v>
      </c>
      <c r="AA22" s="73"/>
      <c r="AB22" s="73"/>
      <c r="AC22" s="73"/>
      <c r="AD22" s="73"/>
      <c r="AE22" s="84"/>
      <c r="AF22" s="73"/>
    </row>
    <row r="23" spans="1:32">
      <c r="A23" s="17">
        <v>19</v>
      </c>
      <c r="B23" s="21">
        <v>29069628</v>
      </c>
      <c r="C23" s="22" t="s">
        <v>96</v>
      </c>
      <c r="D23" s="2">
        <f t="shared" si="3"/>
        <v>8</v>
      </c>
      <c r="E23" s="23">
        <v>45495</v>
      </c>
      <c r="F23" s="24" t="s">
        <v>154</v>
      </c>
      <c r="G23" s="24" t="s">
        <v>68</v>
      </c>
      <c r="H23" s="51" t="s">
        <v>71</v>
      </c>
      <c r="I23" s="20" t="s">
        <v>72</v>
      </c>
      <c r="J23" s="20"/>
      <c r="K23" s="20"/>
      <c r="L23" s="20"/>
      <c r="M23" s="20" t="s">
        <v>72</v>
      </c>
      <c r="N23" s="20"/>
      <c r="O23" s="20"/>
      <c r="P23" s="20"/>
      <c r="Q23" s="20"/>
      <c r="R23" s="20"/>
      <c r="S23" s="20"/>
      <c r="T23" s="20"/>
      <c r="U23" s="20"/>
      <c r="V23" s="59" t="s">
        <v>72</v>
      </c>
      <c r="W23" s="20"/>
      <c r="X23" s="20"/>
      <c r="Y23" s="20"/>
      <c r="Z23" s="55" t="s">
        <v>72</v>
      </c>
      <c r="AA23" s="20"/>
      <c r="AB23" s="20" t="s">
        <v>72</v>
      </c>
      <c r="AC23" s="20" t="s">
        <v>72</v>
      </c>
      <c r="AD23" s="20"/>
      <c r="AE23" s="20" t="s">
        <v>72</v>
      </c>
      <c r="AF23" s="20" t="s">
        <v>72</v>
      </c>
    </row>
    <row r="24" spans="1:32">
      <c r="A24" s="2">
        <v>20</v>
      </c>
      <c r="B24" s="2">
        <v>29069919</v>
      </c>
      <c r="C24" s="5" t="s">
        <v>97</v>
      </c>
      <c r="D24" s="2">
        <f t="shared" si="3"/>
        <v>8</v>
      </c>
      <c r="E24" s="4">
        <v>45586</v>
      </c>
      <c r="F24" s="3" t="s">
        <v>154</v>
      </c>
      <c r="G24" s="3" t="s">
        <v>155</v>
      </c>
      <c r="H24" s="50" t="s">
        <v>71</v>
      </c>
      <c r="I24" s="20"/>
      <c r="J24" s="20"/>
      <c r="K24" s="20"/>
      <c r="L24" s="20" t="s">
        <v>72</v>
      </c>
      <c r="M24" s="20" t="s">
        <v>72</v>
      </c>
      <c r="N24" s="20"/>
      <c r="O24" s="20"/>
      <c r="P24" s="20" t="s">
        <v>72</v>
      </c>
      <c r="Q24" s="20"/>
      <c r="R24" s="20"/>
      <c r="S24" s="20"/>
      <c r="T24" s="20" t="s">
        <v>72</v>
      </c>
      <c r="U24" s="20"/>
      <c r="V24" s="59" t="s">
        <v>72</v>
      </c>
      <c r="W24" s="20"/>
      <c r="X24" s="20"/>
      <c r="Y24" s="20"/>
      <c r="Z24" s="55" t="s">
        <v>72</v>
      </c>
      <c r="AA24" s="20"/>
      <c r="AB24" s="20" t="s">
        <v>72</v>
      </c>
      <c r="AC24" s="20"/>
      <c r="AD24" s="20"/>
      <c r="AE24" s="20"/>
      <c r="AF24" s="20" t="s">
        <v>72</v>
      </c>
    </row>
    <row r="25" spans="1:32">
      <c r="A25" s="17">
        <v>21</v>
      </c>
      <c r="B25" s="2">
        <v>29070348</v>
      </c>
      <c r="C25" s="3" t="s">
        <v>98</v>
      </c>
      <c r="D25" s="2">
        <f t="shared" si="3"/>
        <v>8</v>
      </c>
      <c r="E25" s="4">
        <v>45586</v>
      </c>
      <c r="F25" s="3" t="s">
        <v>154</v>
      </c>
      <c r="G25" s="3" t="s">
        <v>68</v>
      </c>
      <c r="H25" s="50" t="s">
        <v>71</v>
      </c>
      <c r="I25" s="20"/>
      <c r="J25" s="20"/>
      <c r="K25" s="20"/>
      <c r="L25" s="20"/>
      <c r="M25" s="20" t="s">
        <v>72</v>
      </c>
      <c r="N25" s="20" t="s">
        <v>72</v>
      </c>
      <c r="O25" s="20"/>
      <c r="P25" s="20" t="s">
        <v>72</v>
      </c>
      <c r="Q25" s="20"/>
      <c r="R25" s="20"/>
      <c r="S25" s="20"/>
      <c r="T25" s="20"/>
      <c r="U25" s="20"/>
      <c r="V25" s="59" t="s">
        <v>72</v>
      </c>
      <c r="W25" s="20"/>
      <c r="X25" s="20"/>
      <c r="Y25" s="20"/>
      <c r="Z25" s="55" t="s">
        <v>72</v>
      </c>
      <c r="AA25" s="20"/>
      <c r="AB25" s="20" t="s">
        <v>72</v>
      </c>
      <c r="AC25" s="20" t="s">
        <v>72</v>
      </c>
      <c r="AD25" s="20"/>
      <c r="AE25" s="20"/>
      <c r="AF25" s="20" t="s">
        <v>72</v>
      </c>
    </row>
    <row r="26" spans="1:32">
      <c r="A26" s="2">
        <v>22</v>
      </c>
      <c r="B26" s="21">
        <v>29070028</v>
      </c>
      <c r="C26" s="24" t="s">
        <v>99</v>
      </c>
      <c r="D26" s="2">
        <f t="shared" si="3"/>
        <v>8</v>
      </c>
      <c r="E26" s="23">
        <v>45586</v>
      </c>
      <c r="F26" s="24" t="s">
        <v>154</v>
      </c>
      <c r="G26" s="36" t="s">
        <v>78</v>
      </c>
      <c r="H26" s="51" t="s">
        <v>71</v>
      </c>
      <c r="I26" s="20"/>
      <c r="J26" s="20"/>
      <c r="K26" s="20"/>
      <c r="L26" s="20"/>
      <c r="M26" s="20" t="s">
        <v>72</v>
      </c>
      <c r="N26" s="20" t="s">
        <v>72</v>
      </c>
      <c r="O26" s="20"/>
      <c r="P26" s="20"/>
      <c r="Q26" s="20"/>
      <c r="R26" s="20"/>
      <c r="S26" s="20"/>
      <c r="T26" s="20"/>
      <c r="U26" s="20" t="s">
        <v>72</v>
      </c>
      <c r="V26" s="59" t="s">
        <v>72</v>
      </c>
      <c r="W26" s="20"/>
      <c r="X26" s="20"/>
      <c r="Y26" s="20"/>
      <c r="Z26" s="55" t="s">
        <v>72</v>
      </c>
      <c r="AA26" s="20" t="s">
        <v>72</v>
      </c>
      <c r="AB26" s="20" t="s">
        <v>72</v>
      </c>
      <c r="AC26" s="20"/>
      <c r="AD26" s="20"/>
      <c r="AE26" s="20"/>
      <c r="AF26" s="20" t="s">
        <v>72</v>
      </c>
    </row>
    <row r="27" spans="1:32">
      <c r="A27" s="17">
        <v>23</v>
      </c>
      <c r="B27" s="21">
        <v>29070362</v>
      </c>
      <c r="C27" s="5" t="s">
        <v>100</v>
      </c>
      <c r="D27" s="2">
        <f t="shared" si="3"/>
        <v>8</v>
      </c>
      <c r="E27" s="35">
        <v>45600</v>
      </c>
      <c r="F27" s="36" t="s">
        <v>154</v>
      </c>
      <c r="G27" s="3" t="s">
        <v>155</v>
      </c>
      <c r="H27" s="52" t="s">
        <v>71</v>
      </c>
      <c r="I27" s="20"/>
      <c r="J27" s="20"/>
      <c r="K27" s="20"/>
      <c r="L27" s="20" t="s">
        <v>72</v>
      </c>
      <c r="M27" s="20"/>
      <c r="N27" s="20" t="s">
        <v>72</v>
      </c>
      <c r="O27" s="20"/>
      <c r="P27" s="20" t="s">
        <v>72</v>
      </c>
      <c r="Q27" s="20"/>
      <c r="R27" s="20"/>
      <c r="S27" s="20"/>
      <c r="T27" s="20"/>
      <c r="U27" s="20"/>
      <c r="V27" s="59" t="s">
        <v>72</v>
      </c>
      <c r="W27" s="20"/>
      <c r="X27" s="20" t="s">
        <v>72</v>
      </c>
      <c r="Y27" s="20"/>
      <c r="Z27" s="55" t="s">
        <v>72</v>
      </c>
      <c r="AA27" s="20"/>
      <c r="AB27" s="20"/>
      <c r="AC27" s="20"/>
      <c r="AD27" s="20"/>
      <c r="AE27" s="20" t="s">
        <v>72</v>
      </c>
      <c r="AF27" s="20" t="s">
        <v>72</v>
      </c>
    </row>
    <row r="28" spans="1:32">
      <c r="A28" s="2">
        <v>24</v>
      </c>
      <c r="B28" s="43">
        <v>29069889</v>
      </c>
      <c r="C28" s="44" t="s">
        <v>101</v>
      </c>
      <c r="D28" s="2">
        <f t="shared" si="3"/>
        <v>8</v>
      </c>
      <c r="E28" s="45">
        <v>45607</v>
      </c>
      <c r="F28" s="36" t="s">
        <v>154</v>
      </c>
      <c r="G28" s="36" t="s">
        <v>78</v>
      </c>
      <c r="H28" s="52" t="s">
        <v>71</v>
      </c>
      <c r="I28" s="20"/>
      <c r="J28" s="20"/>
      <c r="K28" s="20"/>
      <c r="L28" s="20" t="s">
        <v>72</v>
      </c>
      <c r="M28" s="20" t="s">
        <v>72</v>
      </c>
      <c r="N28" s="20"/>
      <c r="O28" s="20"/>
      <c r="P28" s="20"/>
      <c r="Q28" s="20"/>
      <c r="R28" s="20"/>
      <c r="S28" s="20"/>
      <c r="T28" s="20"/>
      <c r="U28" s="20"/>
      <c r="V28" s="59" t="s">
        <v>72</v>
      </c>
      <c r="W28" s="20" t="s">
        <v>72</v>
      </c>
      <c r="X28" s="20" t="s">
        <v>72</v>
      </c>
      <c r="Y28" s="20"/>
      <c r="Z28" s="55" t="s">
        <v>72</v>
      </c>
      <c r="AA28" s="20"/>
      <c r="AB28" s="20" t="s">
        <v>72</v>
      </c>
      <c r="AC28" s="20" t="s">
        <v>72</v>
      </c>
      <c r="AD28" s="20"/>
      <c r="AE28" s="20"/>
      <c r="AF28" s="20"/>
    </row>
    <row r="29" spans="1:32">
      <c r="A29" s="17">
        <v>25</v>
      </c>
      <c r="B29" s="40">
        <v>29070458</v>
      </c>
      <c r="C29" s="42" t="s">
        <v>102</v>
      </c>
      <c r="D29" s="2">
        <f t="shared" si="3"/>
        <v>8</v>
      </c>
      <c r="E29" s="41">
        <v>45630</v>
      </c>
      <c r="F29" s="30" t="s">
        <v>154</v>
      </c>
      <c r="G29" s="30" t="s">
        <v>68</v>
      </c>
      <c r="H29" s="53" t="s">
        <v>71</v>
      </c>
      <c r="I29" s="20"/>
      <c r="J29" s="20"/>
      <c r="K29" s="20"/>
      <c r="L29" s="20" t="s">
        <v>72</v>
      </c>
      <c r="M29" s="20" t="s">
        <v>72</v>
      </c>
      <c r="N29" s="20"/>
      <c r="O29" s="20"/>
      <c r="P29" s="20" t="s">
        <v>72</v>
      </c>
      <c r="Q29" s="20"/>
      <c r="R29" s="20"/>
      <c r="S29" s="20"/>
      <c r="T29" s="20"/>
      <c r="U29" s="20"/>
      <c r="V29" s="59" t="s">
        <v>72</v>
      </c>
      <c r="W29" s="20"/>
      <c r="X29" s="20"/>
      <c r="Y29" s="20"/>
      <c r="Z29" s="55" t="s">
        <v>72</v>
      </c>
      <c r="AA29" s="20"/>
      <c r="AB29" s="20" t="s">
        <v>72</v>
      </c>
      <c r="AC29" s="20" t="s">
        <v>72</v>
      </c>
      <c r="AD29" s="20"/>
      <c r="AE29" s="20"/>
      <c r="AF29" s="20" t="s">
        <v>72</v>
      </c>
    </row>
    <row r="30" spans="1:32">
      <c r="A30" s="2">
        <v>26</v>
      </c>
      <c r="B30" s="40">
        <v>29070965</v>
      </c>
      <c r="C30" s="42" t="s">
        <v>103</v>
      </c>
      <c r="D30" s="2">
        <f t="shared" si="3"/>
        <v>8</v>
      </c>
      <c r="E30" s="41">
        <v>45635</v>
      </c>
      <c r="F30" s="30" t="s">
        <v>154</v>
      </c>
      <c r="G30" s="30" t="s">
        <v>68</v>
      </c>
      <c r="H30" s="53" t="s">
        <v>71</v>
      </c>
      <c r="I30" s="20"/>
      <c r="J30" s="20"/>
      <c r="K30" s="20"/>
      <c r="L30" s="20"/>
      <c r="M30" s="20" t="s">
        <v>72</v>
      </c>
      <c r="N30" s="20"/>
      <c r="O30" s="20"/>
      <c r="P30" s="20"/>
      <c r="Q30" s="20"/>
      <c r="R30" s="20"/>
      <c r="S30" s="20"/>
      <c r="T30" s="20"/>
      <c r="U30" s="20"/>
      <c r="V30" s="59" t="s">
        <v>72</v>
      </c>
      <c r="W30" s="20"/>
      <c r="X30" s="20"/>
      <c r="Y30" s="20"/>
      <c r="Z30" s="55" t="s">
        <v>72</v>
      </c>
      <c r="AA30" s="20"/>
      <c r="AB30" s="20" t="s">
        <v>72</v>
      </c>
      <c r="AC30" s="20" t="s">
        <v>72</v>
      </c>
      <c r="AD30" s="20" t="s">
        <v>72</v>
      </c>
      <c r="AE30" s="20" t="s">
        <v>72</v>
      </c>
      <c r="AF30" s="20" t="s">
        <v>72</v>
      </c>
    </row>
    <row r="31" spans="1:32" s="76" customFormat="1">
      <c r="A31" s="77">
        <v>27</v>
      </c>
      <c r="B31" s="78">
        <v>29070841</v>
      </c>
      <c r="C31" s="79" t="s">
        <v>104</v>
      </c>
      <c r="D31" s="69">
        <f t="shared" si="3"/>
        <v>7</v>
      </c>
      <c r="E31" s="80">
        <v>45635</v>
      </c>
      <c r="F31" s="81" t="s">
        <v>154</v>
      </c>
      <c r="G31" s="81" t="s">
        <v>68</v>
      </c>
      <c r="H31" s="82" t="s">
        <v>71</v>
      </c>
      <c r="I31" s="73"/>
      <c r="J31" s="73"/>
      <c r="K31" s="73"/>
      <c r="L31" s="73"/>
      <c r="M31" s="73" t="s">
        <v>72</v>
      </c>
      <c r="N31" s="73" t="s">
        <v>72</v>
      </c>
      <c r="O31" s="73"/>
      <c r="P31" s="73"/>
      <c r="Q31" s="73"/>
      <c r="R31" s="73" t="s">
        <v>72</v>
      </c>
      <c r="S31" s="73"/>
      <c r="T31" s="73"/>
      <c r="U31" s="73"/>
      <c r="V31" s="74" t="s">
        <v>72</v>
      </c>
      <c r="W31" s="73"/>
      <c r="X31" s="73"/>
      <c r="Y31" s="73"/>
      <c r="Z31" s="75" t="s">
        <v>72</v>
      </c>
      <c r="AA31" s="73"/>
      <c r="AB31" s="73" t="s">
        <v>72</v>
      </c>
      <c r="AC31" s="73"/>
      <c r="AD31" s="73"/>
      <c r="AE31" s="73"/>
      <c r="AF31" s="73" t="s">
        <v>72</v>
      </c>
    </row>
    <row r="32" spans="1:32">
      <c r="A32" s="2">
        <v>28</v>
      </c>
      <c r="B32" s="40">
        <v>29070430</v>
      </c>
      <c r="C32" s="42" t="s">
        <v>156</v>
      </c>
      <c r="D32" s="2">
        <f t="shared" si="3"/>
        <v>8</v>
      </c>
      <c r="E32" s="41">
        <v>45663</v>
      </c>
      <c r="F32" s="30" t="s">
        <v>154</v>
      </c>
      <c r="G32" s="3" t="s">
        <v>155</v>
      </c>
      <c r="H32" s="53" t="s">
        <v>71</v>
      </c>
      <c r="I32" s="20"/>
      <c r="J32" s="20"/>
      <c r="K32" s="20"/>
      <c r="L32" s="20"/>
      <c r="M32" s="20" t="s">
        <v>72</v>
      </c>
      <c r="N32" s="20"/>
      <c r="O32" s="20"/>
      <c r="P32" s="20"/>
      <c r="Q32" s="20"/>
      <c r="R32" s="20"/>
      <c r="S32" s="20"/>
      <c r="T32" s="20"/>
      <c r="U32" s="20"/>
      <c r="V32" s="59" t="s">
        <v>72</v>
      </c>
      <c r="W32" s="20"/>
      <c r="X32" s="20" t="s">
        <v>72</v>
      </c>
      <c r="Y32" s="20" t="s">
        <v>72</v>
      </c>
      <c r="Z32" s="55" t="s">
        <v>72</v>
      </c>
      <c r="AA32" s="20"/>
      <c r="AB32" s="20" t="s">
        <v>72</v>
      </c>
      <c r="AC32" s="20" t="s">
        <v>72</v>
      </c>
      <c r="AD32" s="20"/>
      <c r="AE32" s="20"/>
      <c r="AF32" s="20" t="s">
        <v>72</v>
      </c>
    </row>
    <row r="33" spans="1:32">
      <c r="A33" s="17">
        <v>29</v>
      </c>
      <c r="B33" s="40">
        <v>29070712</v>
      </c>
      <c r="C33" s="42" t="s">
        <v>157</v>
      </c>
      <c r="D33" s="2">
        <f t="shared" si="3"/>
        <v>8</v>
      </c>
      <c r="E33" s="41">
        <v>45663</v>
      </c>
      <c r="F33" s="30" t="s">
        <v>154</v>
      </c>
      <c r="G33" s="3" t="s">
        <v>73</v>
      </c>
      <c r="H33" s="53" t="s">
        <v>71</v>
      </c>
      <c r="I33" s="20"/>
      <c r="J33" s="20"/>
      <c r="K33" s="20"/>
      <c r="L33" s="20" t="s">
        <v>72</v>
      </c>
      <c r="M33" s="20" t="s">
        <v>72</v>
      </c>
      <c r="N33" s="20"/>
      <c r="O33" s="20"/>
      <c r="P33" s="20" t="s">
        <v>72</v>
      </c>
      <c r="Q33" s="20"/>
      <c r="R33" s="20"/>
      <c r="S33" s="20"/>
      <c r="T33" s="20"/>
      <c r="U33" s="20"/>
      <c r="V33" s="59" t="s">
        <v>72</v>
      </c>
      <c r="W33" s="20"/>
      <c r="X33" s="20"/>
      <c r="Y33" s="20"/>
      <c r="Z33" s="55" t="s">
        <v>72</v>
      </c>
      <c r="AA33" s="20"/>
      <c r="AB33" s="20" t="s">
        <v>72</v>
      </c>
      <c r="AC33" s="20" t="s">
        <v>72</v>
      </c>
      <c r="AD33" s="20"/>
      <c r="AE33" s="20"/>
      <c r="AF33" s="20" t="s">
        <v>72</v>
      </c>
    </row>
    <row r="34" spans="1:32">
      <c r="A34" s="58">
        <v>30</v>
      </c>
      <c r="B34" s="40">
        <v>29074346</v>
      </c>
      <c r="C34" s="42" t="s">
        <v>158</v>
      </c>
      <c r="D34" s="2">
        <v>1</v>
      </c>
      <c r="E34" s="41"/>
      <c r="F34" s="30"/>
      <c r="G34" s="30"/>
      <c r="H34" s="53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59"/>
      <c r="W34" s="20"/>
      <c r="X34" s="20"/>
      <c r="Y34" s="20"/>
      <c r="Z34" s="55"/>
      <c r="AA34" s="20"/>
      <c r="AB34" s="20"/>
      <c r="AC34" s="20"/>
      <c r="AD34" s="20"/>
      <c r="AE34" s="20"/>
      <c r="AF34" s="20" t="s">
        <v>72</v>
      </c>
    </row>
    <row r="35" spans="1:32">
      <c r="A35" s="40"/>
      <c r="B35" s="40"/>
      <c r="C35" s="42"/>
      <c r="D35" s="2"/>
      <c r="E35" s="41"/>
      <c r="F35" s="30"/>
      <c r="G35" s="30"/>
      <c r="H35" s="53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59"/>
      <c r="W35" s="20"/>
      <c r="X35" s="20"/>
      <c r="Y35" s="20"/>
      <c r="Z35" s="55"/>
      <c r="AA35" s="20"/>
      <c r="AB35" s="20"/>
      <c r="AC35" s="20"/>
      <c r="AD35" s="20"/>
      <c r="AE35" s="20"/>
      <c r="AF35" s="20"/>
    </row>
    <row r="37" spans="1:32" ht="28.5">
      <c r="B37" s="57"/>
      <c r="C37" s="174" t="s">
        <v>105</v>
      </c>
      <c r="D37" s="174"/>
      <c r="E37" s="174"/>
      <c r="F37" s="174"/>
      <c r="G37" s="174"/>
    </row>
  </sheetData>
  <mergeCells count="9">
    <mergeCell ref="C37:G37"/>
    <mergeCell ref="H2:H4"/>
    <mergeCell ref="D2:D4"/>
    <mergeCell ref="A2:A4"/>
    <mergeCell ref="B2:B4"/>
    <mergeCell ref="C2:C4"/>
    <mergeCell ref="E2:E4"/>
    <mergeCell ref="F2:F4"/>
    <mergeCell ref="G2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D5F8-2241-4234-BA3D-F4A2C4CCA247}">
  <dimension ref="A1:AZ34"/>
  <sheetViews>
    <sheetView tabSelected="1" workbookViewId="0">
      <pane xSplit="4" ySplit="4" topLeftCell="E5" activePane="bottomRight" state="frozen"/>
      <selection pane="bottomRight" activeCell="H12" sqref="H12"/>
      <selection pane="bottomLeft"/>
      <selection pane="topRight"/>
    </sheetView>
  </sheetViews>
  <sheetFormatPr defaultColWidth="12.5703125" defaultRowHeight="15" customHeight="1"/>
  <cols>
    <col min="3" max="3" width="25" bestFit="1" customWidth="1"/>
    <col min="6" max="6" width="28.42578125" bestFit="1" customWidth="1"/>
    <col min="7" max="7" width="18.85546875" bestFit="1" customWidth="1"/>
    <col min="8" max="8" width="29" bestFit="1" customWidth="1"/>
    <col min="14" max="14" width="26.28515625" customWidth="1"/>
    <col min="15" max="15" width="14.28515625" customWidth="1"/>
    <col min="22" max="22" width="16.140625" customWidth="1"/>
    <col min="23" max="23" width="20.140625" customWidth="1"/>
    <col min="24" max="24" width="19" customWidth="1"/>
    <col min="25" max="25" width="18.85546875" customWidth="1"/>
    <col min="26" max="26" width="20.5703125" customWidth="1"/>
  </cols>
  <sheetData>
    <row r="1" spans="1:52" ht="18.75" customHeight="1">
      <c r="A1" s="143" t="s">
        <v>159</v>
      </c>
      <c r="B1" s="144"/>
      <c r="C1" s="144"/>
      <c r="D1" s="144"/>
      <c r="E1" s="145"/>
    </row>
    <row r="2" spans="1:52" s="110" customFormat="1" ht="14.45">
      <c r="A2" s="139" t="s">
        <v>29</v>
      </c>
      <c r="B2" s="138" t="s">
        <v>30</v>
      </c>
      <c r="C2" s="138" t="s">
        <v>31</v>
      </c>
      <c r="D2" s="150" t="s">
        <v>36</v>
      </c>
      <c r="E2" s="138" t="s">
        <v>32</v>
      </c>
      <c r="F2" s="137" t="s">
        <v>33</v>
      </c>
      <c r="G2" s="137" t="s">
        <v>34</v>
      </c>
      <c r="H2" s="140" t="s">
        <v>35</v>
      </c>
      <c r="I2" s="135">
        <v>46023</v>
      </c>
      <c r="J2" s="135">
        <v>46045</v>
      </c>
      <c r="K2" s="136">
        <v>46048</v>
      </c>
      <c r="L2" s="135">
        <v>46065</v>
      </c>
      <c r="M2" s="135">
        <v>46085</v>
      </c>
      <c r="N2" s="135">
        <v>46093</v>
      </c>
      <c r="O2" s="135">
        <v>46104</v>
      </c>
      <c r="P2" s="135">
        <v>46107</v>
      </c>
      <c r="Q2" s="135">
        <v>46112</v>
      </c>
      <c r="R2" s="135">
        <v>46115</v>
      </c>
      <c r="S2" s="135">
        <v>46126</v>
      </c>
      <c r="T2" s="135">
        <v>46139</v>
      </c>
      <c r="U2" s="135">
        <v>46141</v>
      </c>
      <c r="V2" s="135">
        <v>46143</v>
      </c>
      <c r="W2" s="135">
        <v>46167</v>
      </c>
      <c r="X2" s="135">
        <v>46169</v>
      </c>
      <c r="Y2" s="135">
        <v>46182</v>
      </c>
      <c r="Z2" s="135">
        <v>46190</v>
      </c>
      <c r="AA2" s="135">
        <v>46191</v>
      </c>
      <c r="AB2" s="135">
        <v>46199</v>
      </c>
      <c r="AC2" s="135">
        <v>46202</v>
      </c>
      <c r="AD2" s="135">
        <v>46210</v>
      </c>
      <c r="AE2" s="135">
        <v>46218</v>
      </c>
      <c r="AF2" s="135">
        <v>46219</v>
      </c>
      <c r="AG2" s="135">
        <v>46230</v>
      </c>
      <c r="AH2" s="135">
        <v>46234</v>
      </c>
      <c r="AI2" s="135">
        <v>46260</v>
      </c>
      <c r="AJ2" s="135">
        <v>46262</v>
      </c>
      <c r="AK2" s="135">
        <v>46269</v>
      </c>
      <c r="AL2" s="135">
        <v>46272</v>
      </c>
      <c r="AM2" s="135">
        <v>46282</v>
      </c>
      <c r="AN2" s="135">
        <v>46288</v>
      </c>
      <c r="AO2" s="136">
        <v>46297</v>
      </c>
      <c r="AP2" s="135">
        <v>46301</v>
      </c>
      <c r="AQ2" s="135">
        <v>46315</v>
      </c>
      <c r="AR2" s="135">
        <v>46321</v>
      </c>
      <c r="AS2" s="135">
        <v>46324</v>
      </c>
      <c r="AT2" s="135">
        <v>46335</v>
      </c>
      <c r="AU2" s="135">
        <v>46338</v>
      </c>
      <c r="AV2" s="135">
        <v>46350</v>
      </c>
      <c r="AW2" s="135">
        <v>46352</v>
      </c>
      <c r="AX2" s="135">
        <v>46360</v>
      </c>
      <c r="AY2" s="135">
        <v>46370</v>
      </c>
      <c r="AZ2" s="135">
        <v>46381</v>
      </c>
    </row>
    <row r="3" spans="1:52" s="109" customFormat="1" ht="14.45">
      <c r="A3" s="149"/>
      <c r="B3" s="138"/>
      <c r="C3" s="138"/>
      <c r="D3" s="151"/>
      <c r="E3" s="138"/>
      <c r="F3" s="138"/>
      <c r="G3" s="138"/>
      <c r="H3" s="141"/>
      <c r="I3" s="127" t="s">
        <v>37</v>
      </c>
      <c r="J3" s="127" t="s">
        <v>40</v>
      </c>
      <c r="K3" s="128" t="s">
        <v>139</v>
      </c>
      <c r="L3" s="127" t="s">
        <v>160</v>
      </c>
      <c r="M3" s="127" t="s">
        <v>42</v>
      </c>
      <c r="N3" s="127" t="s">
        <v>161</v>
      </c>
      <c r="O3" s="127" t="s">
        <v>162</v>
      </c>
      <c r="P3" s="127" t="s">
        <v>45</v>
      </c>
      <c r="Q3" s="127" t="s">
        <v>117</v>
      </c>
      <c r="R3" s="127" t="s">
        <v>43</v>
      </c>
      <c r="S3" s="127" t="s">
        <v>140</v>
      </c>
      <c r="T3" s="127" t="s">
        <v>163</v>
      </c>
      <c r="U3" s="127" t="s">
        <v>164</v>
      </c>
      <c r="V3" s="127" t="s">
        <v>165</v>
      </c>
      <c r="W3" s="127" t="s">
        <v>166</v>
      </c>
      <c r="X3" s="127" t="s">
        <v>143</v>
      </c>
      <c r="Y3" s="127" t="s">
        <v>167</v>
      </c>
      <c r="Z3" s="127" t="s">
        <v>121</v>
      </c>
      <c r="AA3" s="127" t="s">
        <v>168</v>
      </c>
      <c r="AB3" s="127" t="s">
        <v>49</v>
      </c>
      <c r="AC3" s="127" t="s">
        <v>122</v>
      </c>
      <c r="AD3" s="127" t="s">
        <v>169</v>
      </c>
      <c r="AE3" s="127" t="s">
        <v>170</v>
      </c>
      <c r="AF3" s="127" t="s">
        <v>144</v>
      </c>
      <c r="AG3" s="127" t="s">
        <v>171</v>
      </c>
      <c r="AH3" s="127" t="s">
        <v>123</v>
      </c>
      <c r="AI3" s="127" t="s">
        <v>172</v>
      </c>
      <c r="AJ3" s="127" t="s">
        <v>51</v>
      </c>
      <c r="AK3" s="129" t="s">
        <v>52</v>
      </c>
      <c r="AL3" s="130" t="s">
        <v>53</v>
      </c>
      <c r="AM3" s="131" t="s">
        <v>173</v>
      </c>
      <c r="AN3" s="131" t="s">
        <v>174</v>
      </c>
      <c r="AO3" s="128" t="s">
        <v>145</v>
      </c>
      <c r="AP3" s="127" t="s">
        <v>175</v>
      </c>
      <c r="AQ3" s="127" t="s">
        <v>146</v>
      </c>
      <c r="AR3" s="127" t="s">
        <v>132</v>
      </c>
      <c r="AS3" s="127" t="s">
        <v>176</v>
      </c>
      <c r="AT3" s="127" t="s">
        <v>147</v>
      </c>
      <c r="AU3" s="127" t="s">
        <v>177</v>
      </c>
      <c r="AV3" s="132" t="s">
        <v>59</v>
      </c>
      <c r="AW3" s="127" t="s">
        <v>60</v>
      </c>
      <c r="AX3" s="127" t="s">
        <v>178</v>
      </c>
      <c r="AY3" s="127" t="s">
        <v>179</v>
      </c>
      <c r="AZ3" s="127" t="s">
        <v>61</v>
      </c>
    </row>
    <row r="4" spans="1:52" ht="30.75" customHeight="1">
      <c r="A4" s="149"/>
      <c r="B4" s="139"/>
      <c r="C4" s="139"/>
      <c r="D4" s="151"/>
      <c r="E4" s="139"/>
      <c r="F4" s="139"/>
      <c r="G4" s="139"/>
      <c r="H4" s="142"/>
      <c r="I4" s="106" t="s">
        <v>66</v>
      </c>
      <c r="J4" s="106" t="s">
        <v>63</v>
      </c>
      <c r="K4" s="107" t="s">
        <v>62</v>
      </c>
      <c r="L4" s="106" t="s">
        <v>66</v>
      </c>
      <c r="M4" s="106" t="s">
        <v>64</v>
      </c>
      <c r="N4" s="106" t="s">
        <v>66</v>
      </c>
      <c r="O4" s="106" t="s">
        <v>62</v>
      </c>
      <c r="P4" s="106" t="s">
        <v>66</v>
      </c>
      <c r="Q4" s="106" t="s">
        <v>111</v>
      </c>
      <c r="R4" s="106" t="s">
        <v>63</v>
      </c>
      <c r="S4" s="106" t="s">
        <v>111</v>
      </c>
      <c r="T4" s="106" t="s">
        <v>62</v>
      </c>
      <c r="U4" s="106" t="s">
        <v>64</v>
      </c>
      <c r="V4" s="106" t="s">
        <v>63</v>
      </c>
      <c r="W4" s="106" t="s">
        <v>62</v>
      </c>
      <c r="X4" s="106" t="s">
        <v>64</v>
      </c>
      <c r="Y4" s="106" t="s">
        <v>111</v>
      </c>
      <c r="Z4" s="106" t="s">
        <v>64</v>
      </c>
      <c r="AA4" s="106" t="s">
        <v>66</v>
      </c>
      <c r="AB4" s="106" t="s">
        <v>63</v>
      </c>
      <c r="AC4" s="106" t="s">
        <v>62</v>
      </c>
      <c r="AD4" s="106" t="s">
        <v>111</v>
      </c>
      <c r="AE4" s="106" t="s">
        <v>64</v>
      </c>
      <c r="AF4" s="106" t="s">
        <v>66</v>
      </c>
      <c r="AG4" s="106" t="s">
        <v>62</v>
      </c>
      <c r="AH4" s="106" t="s">
        <v>63</v>
      </c>
      <c r="AI4" s="106" t="s">
        <v>64</v>
      </c>
      <c r="AJ4" s="106" t="s">
        <v>63</v>
      </c>
      <c r="AK4" s="106" t="s">
        <v>63</v>
      </c>
      <c r="AL4" s="112" t="s">
        <v>62</v>
      </c>
      <c r="AM4" s="111" t="s">
        <v>66</v>
      </c>
      <c r="AN4" s="111" t="s">
        <v>64</v>
      </c>
      <c r="AO4" s="113" t="s">
        <v>63</v>
      </c>
      <c r="AP4" s="106" t="s">
        <v>111</v>
      </c>
      <c r="AQ4" s="106" t="s">
        <v>111</v>
      </c>
      <c r="AR4" s="106" t="s">
        <v>62</v>
      </c>
      <c r="AS4" s="106" t="s">
        <v>66</v>
      </c>
      <c r="AT4" s="106" t="s">
        <v>62</v>
      </c>
      <c r="AU4" s="115" t="s">
        <v>66</v>
      </c>
      <c r="AV4" s="106" t="s">
        <v>111</v>
      </c>
      <c r="AW4" s="106" t="s">
        <v>66</v>
      </c>
      <c r="AX4" s="106" t="s">
        <v>63</v>
      </c>
      <c r="AY4" s="106" t="s">
        <v>62</v>
      </c>
      <c r="AZ4" s="106" t="s">
        <v>63</v>
      </c>
    </row>
    <row r="5" spans="1:52" ht="14.45">
      <c r="A5" s="116">
        <v>1</v>
      </c>
      <c r="B5" s="116">
        <v>29030504</v>
      </c>
      <c r="C5" s="116" t="s">
        <v>68</v>
      </c>
      <c r="D5" s="6">
        <f t="shared" ref="D5:D32" si="0">COUNTA(I5:AZ5)</f>
        <v>7</v>
      </c>
      <c r="E5" s="117">
        <v>42772</v>
      </c>
      <c r="F5" s="116" t="s">
        <v>69</v>
      </c>
      <c r="G5" s="116" t="s">
        <v>70</v>
      </c>
      <c r="H5" s="125" t="s">
        <v>180</v>
      </c>
      <c r="I5" s="20"/>
      <c r="J5" s="20"/>
      <c r="K5" s="102" t="s">
        <v>72</v>
      </c>
      <c r="L5" s="20"/>
      <c r="M5" s="20" t="s">
        <v>72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72</v>
      </c>
      <c r="AK5" s="103"/>
      <c r="AL5" s="108"/>
      <c r="AM5" s="105"/>
      <c r="AN5" s="105"/>
      <c r="AO5" s="104" t="s">
        <v>72</v>
      </c>
      <c r="AP5" s="20"/>
      <c r="AQ5" s="20" t="s">
        <v>72</v>
      </c>
      <c r="AR5" s="20"/>
      <c r="AS5" s="20"/>
      <c r="AT5" s="103" t="s">
        <v>72</v>
      </c>
      <c r="AU5" s="28"/>
      <c r="AV5" s="114"/>
      <c r="AW5" s="20" t="s">
        <v>72</v>
      </c>
      <c r="AX5" s="20"/>
      <c r="AY5" s="20"/>
      <c r="AZ5" s="20"/>
    </row>
    <row r="6" spans="1:52" ht="14.45">
      <c r="A6" s="6">
        <v>2</v>
      </c>
      <c r="B6" s="6">
        <v>29060144</v>
      </c>
      <c r="C6" s="6" t="s">
        <v>73</v>
      </c>
      <c r="D6" s="6">
        <f t="shared" si="0"/>
        <v>7</v>
      </c>
      <c r="E6" s="118">
        <v>44774</v>
      </c>
      <c r="F6" s="6" t="s">
        <v>153</v>
      </c>
      <c r="G6" s="6" t="s">
        <v>68</v>
      </c>
      <c r="H6" s="125" t="s">
        <v>180</v>
      </c>
      <c r="I6" s="20" t="s">
        <v>72</v>
      </c>
      <c r="J6" s="20"/>
      <c r="K6" s="102" t="s">
        <v>72</v>
      </c>
      <c r="L6" s="20"/>
      <c r="M6" s="20" t="s">
        <v>72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 t="s">
        <v>72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72</v>
      </c>
      <c r="AK6" s="103"/>
      <c r="AL6" s="108"/>
      <c r="AM6" s="105"/>
      <c r="AN6" s="105"/>
      <c r="AO6" s="104" t="s">
        <v>72</v>
      </c>
      <c r="AP6" s="20"/>
      <c r="AQ6" s="20"/>
      <c r="AR6" s="20"/>
      <c r="AS6" s="20"/>
      <c r="AT6" s="103"/>
      <c r="AU6" s="28"/>
      <c r="AV6" s="114"/>
      <c r="AW6" s="20"/>
      <c r="AX6" s="20"/>
      <c r="AY6" s="20"/>
      <c r="AZ6" s="20" t="s">
        <v>72</v>
      </c>
    </row>
    <row r="7" spans="1:52" ht="14.45">
      <c r="A7" s="116">
        <v>3</v>
      </c>
      <c r="B7" s="6">
        <v>29060183</v>
      </c>
      <c r="C7" s="6" t="s">
        <v>75</v>
      </c>
      <c r="D7" s="6">
        <f t="shared" si="0"/>
        <v>8</v>
      </c>
      <c r="E7" s="118">
        <v>44767</v>
      </c>
      <c r="F7" s="6" t="s">
        <v>154</v>
      </c>
      <c r="G7" s="6" t="s">
        <v>68</v>
      </c>
      <c r="H7" s="125" t="s">
        <v>180</v>
      </c>
      <c r="I7" s="20"/>
      <c r="J7" s="20" t="s">
        <v>72</v>
      </c>
      <c r="K7" s="102" t="s">
        <v>72</v>
      </c>
      <c r="L7" s="20"/>
      <c r="M7" s="20" t="s">
        <v>72</v>
      </c>
      <c r="N7" s="20"/>
      <c r="O7" s="20"/>
      <c r="P7" s="20"/>
      <c r="Q7" s="20"/>
      <c r="R7" s="20"/>
      <c r="S7" s="20"/>
      <c r="T7" s="20"/>
      <c r="U7" s="20"/>
      <c r="V7" s="20" t="s">
        <v>72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72</v>
      </c>
      <c r="AK7" s="103" t="s">
        <v>72</v>
      </c>
      <c r="AL7" s="108"/>
      <c r="AM7" s="105"/>
      <c r="AN7" s="105"/>
      <c r="AO7" s="104" t="s">
        <v>72</v>
      </c>
      <c r="AP7" s="20"/>
      <c r="AQ7" s="20" t="s">
        <v>72</v>
      </c>
      <c r="AR7" s="20"/>
      <c r="AS7" s="20"/>
      <c r="AT7" s="103"/>
      <c r="AU7" s="28"/>
      <c r="AV7" s="114"/>
      <c r="AW7" s="20"/>
      <c r="AX7" s="20"/>
      <c r="AY7" s="20"/>
      <c r="AZ7" s="20"/>
    </row>
    <row r="8" spans="1:52" ht="14.45">
      <c r="A8" s="6">
        <v>4</v>
      </c>
      <c r="B8" s="6">
        <v>29059775</v>
      </c>
      <c r="C8" s="6" t="s">
        <v>77</v>
      </c>
      <c r="D8" s="6">
        <f t="shared" si="0"/>
        <v>8</v>
      </c>
      <c r="E8" s="118">
        <v>44781</v>
      </c>
      <c r="F8" s="6" t="s">
        <v>154</v>
      </c>
      <c r="G8" s="6" t="s">
        <v>68</v>
      </c>
      <c r="H8" s="125" t="s">
        <v>180</v>
      </c>
      <c r="I8" s="20"/>
      <c r="J8" s="20"/>
      <c r="K8" s="102" t="s">
        <v>72</v>
      </c>
      <c r="L8" s="20"/>
      <c r="M8" s="20" t="s">
        <v>72</v>
      </c>
      <c r="N8" s="20"/>
      <c r="O8" s="20"/>
      <c r="P8" s="20"/>
      <c r="Q8" s="20"/>
      <c r="R8" s="20" t="s">
        <v>72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72</v>
      </c>
      <c r="AK8" s="20" t="s">
        <v>72</v>
      </c>
      <c r="AL8" s="108"/>
      <c r="AM8" s="105"/>
      <c r="AN8" s="105"/>
      <c r="AO8" s="104" t="s">
        <v>72</v>
      </c>
      <c r="AP8" s="20"/>
      <c r="AQ8" s="20" t="s">
        <v>72</v>
      </c>
      <c r="AR8" s="20"/>
      <c r="AS8" s="20"/>
      <c r="AT8" s="103"/>
      <c r="AU8" s="28"/>
      <c r="AV8" s="114"/>
      <c r="AW8" s="20"/>
      <c r="AX8" s="20"/>
      <c r="AY8" s="20"/>
      <c r="AZ8" s="20" t="s">
        <v>72</v>
      </c>
    </row>
    <row r="9" spans="1:52" ht="14.45">
      <c r="A9" s="116">
        <v>5</v>
      </c>
      <c r="B9" s="6">
        <v>29059889</v>
      </c>
      <c r="C9" s="6" t="s">
        <v>78</v>
      </c>
      <c r="D9" s="6">
        <f t="shared" si="0"/>
        <v>8</v>
      </c>
      <c r="E9" s="118">
        <v>44795</v>
      </c>
      <c r="F9" s="6" t="s">
        <v>153</v>
      </c>
      <c r="G9" s="6" t="s">
        <v>68</v>
      </c>
      <c r="H9" s="125" t="s">
        <v>180</v>
      </c>
      <c r="I9" s="20" t="s">
        <v>72</v>
      </c>
      <c r="J9" s="20"/>
      <c r="K9" s="102" t="s">
        <v>72</v>
      </c>
      <c r="L9" s="20"/>
      <c r="M9" s="20" t="s">
        <v>72</v>
      </c>
      <c r="N9" s="20"/>
      <c r="O9" s="20"/>
      <c r="P9" s="20"/>
      <c r="Q9" s="20"/>
      <c r="R9" s="20"/>
      <c r="S9" s="20"/>
      <c r="T9" s="20"/>
      <c r="U9" s="20"/>
      <c r="V9" s="20" t="s">
        <v>72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72</v>
      </c>
      <c r="AK9" s="103" t="s">
        <v>72</v>
      </c>
      <c r="AL9" s="108"/>
      <c r="AM9" s="105"/>
      <c r="AN9" s="105"/>
      <c r="AO9" s="104" t="s">
        <v>72</v>
      </c>
      <c r="AP9" s="20"/>
      <c r="AQ9" s="20"/>
      <c r="AR9" s="20"/>
      <c r="AS9" s="20"/>
      <c r="AT9" s="103" t="s">
        <v>72</v>
      </c>
      <c r="AU9" s="28"/>
      <c r="AV9" s="114"/>
      <c r="AW9" s="20"/>
      <c r="AX9" s="20"/>
      <c r="AY9" s="20"/>
      <c r="AZ9" s="20"/>
    </row>
    <row r="10" spans="1:52" ht="14.45">
      <c r="A10" s="6">
        <v>6</v>
      </c>
      <c r="B10" s="6">
        <v>29061449</v>
      </c>
      <c r="C10" s="6" t="s">
        <v>79</v>
      </c>
      <c r="D10" s="6">
        <f t="shared" si="0"/>
        <v>8</v>
      </c>
      <c r="E10" s="118">
        <v>44834</v>
      </c>
      <c r="F10" s="6" t="s">
        <v>154</v>
      </c>
      <c r="G10" s="6" t="s">
        <v>68</v>
      </c>
      <c r="H10" s="125" t="s">
        <v>180</v>
      </c>
      <c r="I10" s="20"/>
      <c r="J10" s="20"/>
      <c r="K10" s="102" t="s">
        <v>72</v>
      </c>
      <c r="L10" s="20"/>
      <c r="M10" s="20" t="s">
        <v>72</v>
      </c>
      <c r="N10" s="20"/>
      <c r="O10" s="20"/>
      <c r="P10" s="20"/>
      <c r="Q10" s="20"/>
      <c r="R10" s="20"/>
      <c r="S10" s="20"/>
      <c r="T10" s="20"/>
      <c r="U10" s="20"/>
      <c r="V10" s="20" t="s">
        <v>72</v>
      </c>
      <c r="W10" s="20"/>
      <c r="X10" s="20"/>
      <c r="Y10" s="20"/>
      <c r="Z10" s="20" t="s">
        <v>72</v>
      </c>
      <c r="AA10" s="20" t="s">
        <v>72</v>
      </c>
      <c r="AB10" s="20" t="s">
        <v>181</v>
      </c>
      <c r="AC10" s="20" t="s">
        <v>181</v>
      </c>
      <c r="AD10" s="20"/>
      <c r="AE10" s="20"/>
      <c r="AF10" s="20"/>
      <c r="AG10" s="20"/>
      <c r="AH10" s="20"/>
      <c r="AI10" s="20"/>
      <c r="AJ10" s="20"/>
      <c r="AK10" s="103"/>
      <c r="AL10" s="108"/>
      <c r="AM10" s="105"/>
      <c r="AN10" s="105"/>
      <c r="AO10" s="104" t="s">
        <v>72</v>
      </c>
      <c r="AP10" s="20"/>
      <c r="AQ10" s="20"/>
      <c r="AR10" s="20"/>
      <c r="AS10" s="20"/>
      <c r="AT10" s="103"/>
      <c r="AU10" s="28"/>
      <c r="AV10" s="114"/>
      <c r="AW10" s="20"/>
      <c r="AX10" s="20"/>
      <c r="AY10" s="20"/>
      <c r="AZ10" s="20"/>
    </row>
    <row r="11" spans="1:52" ht="14.45">
      <c r="A11" s="116">
        <v>7</v>
      </c>
      <c r="B11" s="6">
        <v>29061549</v>
      </c>
      <c r="C11" s="6" t="s">
        <v>80</v>
      </c>
      <c r="D11" s="6">
        <f t="shared" si="0"/>
        <v>8</v>
      </c>
      <c r="E11" s="118">
        <v>44851</v>
      </c>
      <c r="F11" s="6" t="s">
        <v>153</v>
      </c>
      <c r="G11" s="6" t="s">
        <v>68</v>
      </c>
      <c r="H11" s="125" t="s">
        <v>180</v>
      </c>
      <c r="I11" s="20" t="s">
        <v>72</v>
      </c>
      <c r="J11" s="20" t="s">
        <v>72</v>
      </c>
      <c r="K11" s="102" t="s">
        <v>72</v>
      </c>
      <c r="L11" s="20"/>
      <c r="M11" s="20" t="s">
        <v>72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 t="s">
        <v>72</v>
      </c>
      <c r="AJ11" s="20" t="s">
        <v>72</v>
      </c>
      <c r="AK11" s="103"/>
      <c r="AL11" s="108"/>
      <c r="AM11" s="105"/>
      <c r="AN11" s="105"/>
      <c r="AO11" s="104" t="s">
        <v>72</v>
      </c>
      <c r="AP11" s="20"/>
      <c r="AQ11" s="20"/>
      <c r="AR11" s="20"/>
      <c r="AS11" s="20"/>
      <c r="AT11" s="103" t="s">
        <v>72</v>
      </c>
      <c r="AU11" s="28"/>
      <c r="AV11" s="114"/>
      <c r="AW11" s="20"/>
      <c r="AX11" s="20"/>
      <c r="AY11" s="20"/>
      <c r="AZ11" s="20"/>
    </row>
    <row r="12" spans="1:52" ht="14.45">
      <c r="A12" s="6">
        <v>8</v>
      </c>
      <c r="B12" s="6">
        <v>29062478</v>
      </c>
      <c r="C12" s="6" t="s">
        <v>81</v>
      </c>
      <c r="D12" s="6">
        <f t="shared" si="0"/>
        <v>7</v>
      </c>
      <c r="E12" s="118">
        <v>44900</v>
      </c>
      <c r="F12" s="6" t="s">
        <v>154</v>
      </c>
      <c r="G12" s="6" t="s">
        <v>182</v>
      </c>
      <c r="H12" s="125" t="s">
        <v>183</v>
      </c>
      <c r="I12" s="20" t="s">
        <v>72</v>
      </c>
      <c r="J12" s="20"/>
      <c r="K12" s="102" t="s">
        <v>72</v>
      </c>
      <c r="L12" s="20"/>
      <c r="M12" s="20" t="s">
        <v>72</v>
      </c>
      <c r="N12" s="20"/>
      <c r="O12" s="20"/>
      <c r="P12" s="20"/>
      <c r="Q12" s="20"/>
      <c r="R12" s="20" t="s">
        <v>72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72</v>
      </c>
      <c r="AK12" s="103"/>
      <c r="AL12" s="108"/>
      <c r="AM12" s="105"/>
      <c r="AN12" s="105"/>
      <c r="AO12" s="104" t="s">
        <v>72</v>
      </c>
      <c r="AP12" s="20"/>
      <c r="AQ12" s="20"/>
      <c r="AR12" s="20"/>
      <c r="AS12" s="20"/>
      <c r="AT12" s="103"/>
      <c r="AU12" s="28"/>
      <c r="AV12" s="114"/>
      <c r="AW12" s="20"/>
      <c r="AX12" s="20"/>
      <c r="AY12" s="20"/>
      <c r="AZ12" s="20" t="s">
        <v>72</v>
      </c>
    </row>
    <row r="13" spans="1:52" ht="14.45">
      <c r="A13" s="116">
        <v>9</v>
      </c>
      <c r="B13" s="6">
        <v>29062806</v>
      </c>
      <c r="C13" s="6" t="s">
        <v>82</v>
      </c>
      <c r="D13" s="6">
        <f t="shared" si="0"/>
        <v>8</v>
      </c>
      <c r="E13" s="118">
        <v>44914</v>
      </c>
      <c r="F13" s="6" t="s">
        <v>154</v>
      </c>
      <c r="G13" s="6" t="s">
        <v>78</v>
      </c>
      <c r="H13" s="125" t="s">
        <v>180</v>
      </c>
      <c r="I13" s="20" t="s">
        <v>72</v>
      </c>
      <c r="J13" s="20"/>
      <c r="K13" s="102" t="s">
        <v>72</v>
      </c>
      <c r="L13" s="20"/>
      <c r="M13" s="20" t="s">
        <v>72</v>
      </c>
      <c r="N13" s="20"/>
      <c r="O13" s="20"/>
      <c r="P13" s="20"/>
      <c r="Q13" s="20"/>
      <c r="R13" s="20" t="s">
        <v>72</v>
      </c>
      <c r="S13" s="20"/>
      <c r="T13" s="20"/>
      <c r="U13" s="20"/>
      <c r="V13" s="20" t="s">
        <v>72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103"/>
      <c r="AL13" s="108"/>
      <c r="AM13" s="105"/>
      <c r="AN13" s="105"/>
      <c r="AO13" s="104" t="s">
        <v>72</v>
      </c>
      <c r="AP13" s="20"/>
      <c r="AQ13" s="20"/>
      <c r="AR13" s="20"/>
      <c r="AS13" s="20"/>
      <c r="AT13" s="103"/>
      <c r="AU13" s="28"/>
      <c r="AV13" s="114" t="s">
        <v>72</v>
      </c>
      <c r="AW13" s="20"/>
      <c r="AX13" s="20"/>
      <c r="AY13" s="20"/>
      <c r="AZ13" s="20" t="s">
        <v>72</v>
      </c>
    </row>
    <row r="14" spans="1:52" ht="14.45">
      <c r="A14" s="6">
        <v>10</v>
      </c>
      <c r="B14" s="6">
        <v>29063012</v>
      </c>
      <c r="C14" s="6" t="s">
        <v>85</v>
      </c>
      <c r="D14" s="6">
        <f t="shared" si="0"/>
        <v>8</v>
      </c>
      <c r="E14" s="118">
        <v>44935</v>
      </c>
      <c r="F14" s="6" t="s">
        <v>154</v>
      </c>
      <c r="G14" s="6" t="s">
        <v>182</v>
      </c>
      <c r="H14" s="125" t="s">
        <v>183</v>
      </c>
      <c r="I14" s="20"/>
      <c r="J14" s="20"/>
      <c r="K14" s="102" t="s">
        <v>72</v>
      </c>
      <c r="L14" s="20"/>
      <c r="M14" s="20" t="s">
        <v>72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72</v>
      </c>
      <c r="AK14" s="103" t="s">
        <v>72</v>
      </c>
      <c r="AL14" s="108"/>
      <c r="AM14" s="105"/>
      <c r="AN14" s="105"/>
      <c r="AO14" s="104" t="s">
        <v>72</v>
      </c>
      <c r="AP14" s="20"/>
      <c r="AQ14" s="20" t="s">
        <v>72</v>
      </c>
      <c r="AR14" s="20"/>
      <c r="AS14" s="20"/>
      <c r="AT14" s="103" t="s">
        <v>72</v>
      </c>
      <c r="AU14" s="28"/>
      <c r="AV14" s="114"/>
      <c r="AW14" s="20"/>
      <c r="AX14" s="20"/>
      <c r="AY14" s="20"/>
      <c r="AZ14" s="20" t="s">
        <v>72</v>
      </c>
    </row>
    <row r="15" spans="1:52" ht="14.45">
      <c r="A15" s="116">
        <v>11</v>
      </c>
      <c r="B15" s="6">
        <v>29063200</v>
      </c>
      <c r="C15" s="6" t="s">
        <v>88</v>
      </c>
      <c r="D15" s="6">
        <f t="shared" si="0"/>
        <v>8</v>
      </c>
      <c r="E15" s="118">
        <v>44984</v>
      </c>
      <c r="F15" s="6" t="s">
        <v>154</v>
      </c>
      <c r="G15" s="6" t="s">
        <v>78</v>
      </c>
      <c r="H15" s="125" t="s">
        <v>180</v>
      </c>
      <c r="I15" s="20"/>
      <c r="J15" s="20" t="s">
        <v>72</v>
      </c>
      <c r="K15" s="102" t="s">
        <v>72</v>
      </c>
      <c r="L15" s="20"/>
      <c r="M15" s="20" t="s">
        <v>72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 t="s">
        <v>72</v>
      </c>
      <c r="AC15" s="20"/>
      <c r="AD15" s="20"/>
      <c r="AE15" s="20"/>
      <c r="AF15" s="20"/>
      <c r="AG15" s="20"/>
      <c r="AH15" s="20"/>
      <c r="AI15" s="20"/>
      <c r="AJ15" s="20"/>
      <c r="AK15" s="103"/>
      <c r="AL15" s="108"/>
      <c r="AM15" s="105"/>
      <c r="AN15" s="105"/>
      <c r="AO15" s="104" t="s">
        <v>72</v>
      </c>
      <c r="AP15" s="20"/>
      <c r="AQ15" s="20"/>
      <c r="AR15" s="20"/>
      <c r="AS15" s="20"/>
      <c r="AT15" s="103" t="s">
        <v>72</v>
      </c>
      <c r="AU15" s="28"/>
      <c r="AV15" s="114" t="s">
        <v>72</v>
      </c>
      <c r="AW15" s="20"/>
      <c r="AX15" s="20"/>
      <c r="AY15" s="20"/>
      <c r="AZ15" s="20" t="s">
        <v>72</v>
      </c>
    </row>
    <row r="16" spans="1:52" ht="14.45">
      <c r="A16" s="6">
        <v>12</v>
      </c>
      <c r="B16" s="6">
        <v>29063300</v>
      </c>
      <c r="C16" s="6" t="s">
        <v>89</v>
      </c>
      <c r="D16" s="6">
        <f t="shared" si="0"/>
        <v>8</v>
      </c>
      <c r="E16" s="118">
        <v>44998</v>
      </c>
      <c r="F16" s="6" t="s">
        <v>154</v>
      </c>
      <c r="G16" s="6" t="s">
        <v>73</v>
      </c>
      <c r="H16" s="125" t="s">
        <v>180</v>
      </c>
      <c r="I16" s="20"/>
      <c r="J16" s="20"/>
      <c r="K16" s="102" t="s">
        <v>72</v>
      </c>
      <c r="L16" s="20"/>
      <c r="M16" s="20"/>
      <c r="N16" s="20"/>
      <c r="O16" s="20"/>
      <c r="P16" s="20"/>
      <c r="Q16" s="20"/>
      <c r="R16" s="20" t="s">
        <v>72</v>
      </c>
      <c r="S16" s="20"/>
      <c r="T16" s="20" t="s">
        <v>72</v>
      </c>
      <c r="U16" s="20"/>
      <c r="V16" s="20" t="s">
        <v>72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72</v>
      </c>
      <c r="AK16" s="103"/>
      <c r="AL16" s="108"/>
      <c r="AM16" s="105"/>
      <c r="AN16" s="105"/>
      <c r="AO16" s="104" t="s">
        <v>72</v>
      </c>
      <c r="AP16" s="20"/>
      <c r="AQ16" s="20" t="s">
        <v>72</v>
      </c>
      <c r="AR16" s="20"/>
      <c r="AS16" s="20"/>
      <c r="AT16" s="103" t="s">
        <v>72</v>
      </c>
      <c r="AU16" s="28"/>
      <c r="AV16" s="114"/>
      <c r="AW16" s="20"/>
      <c r="AX16" s="20"/>
      <c r="AY16" s="20"/>
      <c r="AZ16" s="20"/>
    </row>
    <row r="17" spans="1:52" ht="14.45">
      <c r="A17" s="116">
        <v>13</v>
      </c>
      <c r="B17" s="6">
        <v>29063769</v>
      </c>
      <c r="C17" s="6" t="s">
        <v>91</v>
      </c>
      <c r="D17" s="6">
        <f t="shared" si="0"/>
        <v>8</v>
      </c>
      <c r="E17" s="118">
        <v>45075</v>
      </c>
      <c r="F17" s="6" t="s">
        <v>154</v>
      </c>
      <c r="G17" s="6" t="s">
        <v>73</v>
      </c>
      <c r="H17" s="125" t="s">
        <v>180</v>
      </c>
      <c r="I17" s="20"/>
      <c r="J17" s="20"/>
      <c r="K17" s="102" t="s">
        <v>72</v>
      </c>
      <c r="L17" s="20"/>
      <c r="M17" s="20" t="s">
        <v>72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72</v>
      </c>
      <c r="AK17" s="103" t="s">
        <v>72</v>
      </c>
      <c r="AL17" s="108"/>
      <c r="AM17" s="105"/>
      <c r="AN17" s="105"/>
      <c r="AO17" s="104" t="s">
        <v>72</v>
      </c>
      <c r="AP17" s="20"/>
      <c r="AQ17" s="20" t="s">
        <v>72</v>
      </c>
      <c r="AR17" s="20"/>
      <c r="AS17" s="20"/>
      <c r="AT17" s="103" t="s">
        <v>72</v>
      </c>
      <c r="AU17" s="28"/>
      <c r="AV17" s="114"/>
      <c r="AW17" s="20"/>
      <c r="AX17" s="20"/>
      <c r="AY17" s="20"/>
      <c r="AZ17" s="20" t="s">
        <v>72</v>
      </c>
    </row>
    <row r="18" spans="1:52" ht="14.45">
      <c r="A18" s="6">
        <v>14</v>
      </c>
      <c r="B18" s="6">
        <v>29066663</v>
      </c>
      <c r="C18" s="6" t="s">
        <v>92</v>
      </c>
      <c r="D18" s="6">
        <f t="shared" si="0"/>
        <v>8</v>
      </c>
      <c r="E18" s="118">
        <v>45273</v>
      </c>
      <c r="F18" s="6" t="s">
        <v>154</v>
      </c>
      <c r="G18" s="6" t="s">
        <v>78</v>
      </c>
      <c r="H18" s="125" t="s">
        <v>180</v>
      </c>
      <c r="I18" s="20" t="s">
        <v>72</v>
      </c>
      <c r="J18" s="20"/>
      <c r="K18" s="102" t="s">
        <v>72</v>
      </c>
      <c r="L18" s="20"/>
      <c r="M18" s="20" t="s">
        <v>72</v>
      </c>
      <c r="N18" s="20"/>
      <c r="O18" s="20"/>
      <c r="P18" s="20"/>
      <c r="Q18" s="20"/>
      <c r="R18" s="20"/>
      <c r="S18" s="20"/>
      <c r="T18" s="20"/>
      <c r="U18" s="20" t="s">
        <v>72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72</v>
      </c>
      <c r="AK18" s="103"/>
      <c r="AL18" s="108"/>
      <c r="AM18" s="105"/>
      <c r="AN18" s="105"/>
      <c r="AO18" s="104" t="s">
        <v>72</v>
      </c>
      <c r="AP18" s="20"/>
      <c r="AQ18" s="20" t="s">
        <v>72</v>
      </c>
      <c r="AR18" s="20"/>
      <c r="AS18" s="20"/>
      <c r="AT18" s="103" t="s">
        <v>72</v>
      </c>
      <c r="AU18" s="28"/>
      <c r="AV18" s="114"/>
      <c r="AW18" s="20"/>
      <c r="AX18" s="20"/>
      <c r="AY18" s="20"/>
      <c r="AZ18" s="20"/>
    </row>
    <row r="19" spans="1:52" ht="14.45">
      <c r="A19" s="116">
        <v>15</v>
      </c>
      <c r="B19" s="6">
        <v>29066544</v>
      </c>
      <c r="C19" s="6" t="s">
        <v>93</v>
      </c>
      <c r="D19" s="6">
        <f t="shared" si="0"/>
        <v>8</v>
      </c>
      <c r="E19" s="118">
        <v>45278</v>
      </c>
      <c r="F19" s="6" t="s">
        <v>154</v>
      </c>
      <c r="G19" s="6" t="s">
        <v>182</v>
      </c>
      <c r="H19" s="125" t="s">
        <v>183</v>
      </c>
      <c r="I19" s="20" t="s">
        <v>72</v>
      </c>
      <c r="J19" s="20"/>
      <c r="K19" s="102" t="s">
        <v>72</v>
      </c>
      <c r="L19" s="20"/>
      <c r="M19" s="20" t="s">
        <v>72</v>
      </c>
      <c r="N19" s="20"/>
      <c r="O19" s="20"/>
      <c r="P19" s="20"/>
      <c r="Q19" s="20"/>
      <c r="R19" s="20" t="s">
        <v>72</v>
      </c>
      <c r="S19" s="20"/>
      <c r="T19" s="20"/>
      <c r="U19" s="20"/>
      <c r="V19" s="20" t="s">
        <v>72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72</v>
      </c>
      <c r="AK19" s="103"/>
      <c r="AL19" s="108"/>
      <c r="AM19" s="105"/>
      <c r="AN19" s="105"/>
      <c r="AO19" s="104" t="s">
        <v>72</v>
      </c>
      <c r="AP19" s="20"/>
      <c r="AQ19" s="20"/>
      <c r="AR19" s="20"/>
      <c r="AS19" s="20"/>
      <c r="AT19" s="103"/>
      <c r="AU19" s="28"/>
      <c r="AV19" s="114"/>
      <c r="AW19" s="20"/>
      <c r="AX19" s="20"/>
      <c r="AY19" s="20"/>
      <c r="AZ19" s="20" t="s">
        <v>72</v>
      </c>
    </row>
    <row r="20" spans="1:52" ht="14.45">
      <c r="A20" s="6">
        <v>16</v>
      </c>
      <c r="B20" s="6">
        <v>29069377</v>
      </c>
      <c r="C20" s="6" t="s">
        <v>94</v>
      </c>
      <c r="D20" s="6">
        <f t="shared" si="0"/>
        <v>8</v>
      </c>
      <c r="E20" s="118">
        <v>45481</v>
      </c>
      <c r="F20" s="6" t="s">
        <v>154</v>
      </c>
      <c r="G20" s="6" t="s">
        <v>73</v>
      </c>
      <c r="H20" s="125" t="s">
        <v>180</v>
      </c>
      <c r="I20" s="20"/>
      <c r="J20" s="20" t="s">
        <v>72</v>
      </c>
      <c r="K20" s="102" t="s">
        <v>72</v>
      </c>
      <c r="L20" s="20"/>
      <c r="M20" s="20" t="s">
        <v>72</v>
      </c>
      <c r="N20" s="20"/>
      <c r="O20" s="20"/>
      <c r="P20" s="20"/>
      <c r="Q20" s="20"/>
      <c r="R20" s="20" t="s">
        <v>72</v>
      </c>
      <c r="S20" s="20"/>
      <c r="T20" s="20"/>
      <c r="U20" s="20"/>
      <c r="V20" s="20" t="s">
        <v>72</v>
      </c>
      <c r="W20" s="20"/>
      <c r="X20" s="20"/>
      <c r="Y20" s="20"/>
      <c r="Z20" s="20"/>
      <c r="AA20" s="20"/>
      <c r="AB20" s="20" t="s">
        <v>72</v>
      </c>
      <c r="AC20" s="20"/>
      <c r="AD20" s="20"/>
      <c r="AE20" s="20"/>
      <c r="AF20" s="20"/>
      <c r="AG20" s="20"/>
      <c r="AH20" s="20"/>
      <c r="AI20" s="20"/>
      <c r="AJ20" s="20"/>
      <c r="AK20" s="103"/>
      <c r="AL20" s="108"/>
      <c r="AM20" s="105"/>
      <c r="AN20" s="105"/>
      <c r="AO20" s="104" t="s">
        <v>72</v>
      </c>
      <c r="AP20" s="20"/>
      <c r="AQ20" s="20"/>
      <c r="AR20" s="20"/>
      <c r="AS20" s="20"/>
      <c r="AT20" s="103"/>
      <c r="AU20" s="28"/>
      <c r="AV20" s="114"/>
      <c r="AW20" s="20"/>
      <c r="AX20" s="20"/>
      <c r="AY20" s="20"/>
      <c r="AZ20" s="20" t="s">
        <v>72</v>
      </c>
    </row>
    <row r="21" spans="1:52" ht="14.45">
      <c r="A21" s="116">
        <v>17</v>
      </c>
      <c r="B21" s="27">
        <v>29069628</v>
      </c>
      <c r="C21" s="27" t="s">
        <v>96</v>
      </c>
      <c r="D21" s="6">
        <f t="shared" si="0"/>
        <v>7</v>
      </c>
      <c r="E21" s="119">
        <v>45495</v>
      </c>
      <c r="F21" s="27" t="s">
        <v>154</v>
      </c>
      <c r="G21" s="6" t="s">
        <v>182</v>
      </c>
      <c r="H21" s="125" t="s">
        <v>183</v>
      </c>
      <c r="I21" s="20" t="s">
        <v>72</v>
      </c>
      <c r="J21" s="20"/>
      <c r="K21" s="102" t="s">
        <v>72</v>
      </c>
      <c r="L21" s="20"/>
      <c r="M21" s="20" t="s">
        <v>72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103" t="s">
        <v>72</v>
      </c>
      <c r="AL21" s="108"/>
      <c r="AM21" s="105"/>
      <c r="AN21" s="105"/>
      <c r="AO21" s="104" t="s">
        <v>72</v>
      </c>
      <c r="AP21" s="20"/>
      <c r="AQ21" s="20"/>
      <c r="AR21" s="20"/>
      <c r="AS21" s="20"/>
      <c r="AT21" s="103" t="s">
        <v>72</v>
      </c>
      <c r="AU21" s="28"/>
      <c r="AV21" s="114"/>
      <c r="AW21" s="20" t="s">
        <v>72</v>
      </c>
      <c r="AX21" s="20"/>
      <c r="AY21" s="20"/>
      <c r="AZ21" s="20"/>
    </row>
    <row r="22" spans="1:52" ht="14.45">
      <c r="A22" s="6">
        <v>18</v>
      </c>
      <c r="B22" s="6">
        <v>29069919</v>
      </c>
      <c r="C22" s="6" t="s">
        <v>97</v>
      </c>
      <c r="D22" s="6">
        <f t="shared" si="0"/>
        <v>7</v>
      </c>
      <c r="E22" s="118">
        <v>45586</v>
      </c>
      <c r="F22" s="6" t="s">
        <v>154</v>
      </c>
      <c r="G22" s="6" t="s">
        <v>80</v>
      </c>
      <c r="H22" s="125" t="s">
        <v>180</v>
      </c>
      <c r="I22" s="20"/>
      <c r="J22" s="20" t="s">
        <v>72</v>
      </c>
      <c r="K22" s="102" t="s">
        <v>72</v>
      </c>
      <c r="L22" s="20"/>
      <c r="M22" s="20" t="s">
        <v>72</v>
      </c>
      <c r="N22" s="20"/>
      <c r="O22" s="20"/>
      <c r="P22" s="20"/>
      <c r="Q22" s="20"/>
      <c r="R22" s="20" t="s">
        <v>72</v>
      </c>
      <c r="S22" s="20"/>
      <c r="T22" s="20"/>
      <c r="U22" s="20"/>
      <c r="V22" s="20"/>
      <c r="W22" s="20"/>
      <c r="X22" s="20" t="s">
        <v>72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72</v>
      </c>
      <c r="AK22" s="103"/>
      <c r="AL22" s="108"/>
      <c r="AM22" s="105"/>
      <c r="AN22" s="105"/>
      <c r="AO22" s="104" t="s">
        <v>72</v>
      </c>
      <c r="AP22" s="20"/>
      <c r="AQ22" s="20"/>
      <c r="AR22" s="20"/>
      <c r="AS22" s="20"/>
      <c r="AT22" s="103"/>
      <c r="AU22" s="28"/>
      <c r="AV22" s="114"/>
      <c r="AW22" s="20"/>
      <c r="AX22" s="20"/>
      <c r="AY22" s="20"/>
      <c r="AZ22" s="20"/>
    </row>
    <row r="23" spans="1:52" ht="14.45">
      <c r="A23" s="116">
        <v>19</v>
      </c>
      <c r="B23" s="6">
        <v>29070348</v>
      </c>
      <c r="C23" s="6" t="s">
        <v>98</v>
      </c>
      <c r="D23" s="6">
        <f t="shared" si="0"/>
        <v>8</v>
      </c>
      <c r="E23" s="118">
        <v>45586</v>
      </c>
      <c r="F23" s="6" t="s">
        <v>154</v>
      </c>
      <c r="G23" s="6" t="s">
        <v>80</v>
      </c>
      <c r="H23" s="125" t="s">
        <v>180</v>
      </c>
      <c r="I23" s="20" t="s">
        <v>72</v>
      </c>
      <c r="J23" s="20"/>
      <c r="K23" s="102" t="s">
        <v>72</v>
      </c>
      <c r="L23" s="20"/>
      <c r="M23" s="20" t="s">
        <v>72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103" t="s">
        <v>72</v>
      </c>
      <c r="Z23" s="20"/>
      <c r="AA23" s="20"/>
      <c r="AB23" s="20"/>
      <c r="AC23" s="20" t="s">
        <v>72</v>
      </c>
      <c r="AD23" s="20"/>
      <c r="AE23" s="20"/>
      <c r="AF23" s="20"/>
      <c r="AG23" s="20"/>
      <c r="AH23" s="20"/>
      <c r="AI23" s="20"/>
      <c r="AJ23" s="20"/>
      <c r="AL23" s="108"/>
      <c r="AM23" s="105"/>
      <c r="AN23" s="105"/>
      <c r="AO23" s="104" t="s">
        <v>72</v>
      </c>
      <c r="AP23" s="20"/>
      <c r="AQ23" s="20" t="s">
        <v>72</v>
      </c>
      <c r="AR23" s="20"/>
      <c r="AS23" s="20"/>
      <c r="AT23" s="103" t="s">
        <v>72</v>
      </c>
      <c r="AU23" s="28"/>
      <c r="AV23" s="114"/>
      <c r="AW23" s="20"/>
      <c r="AX23" s="20"/>
      <c r="AY23" s="20"/>
      <c r="AZ23" s="20"/>
    </row>
    <row r="24" spans="1:52" ht="14.45">
      <c r="A24" s="6">
        <v>20</v>
      </c>
      <c r="B24" s="27">
        <v>29070028</v>
      </c>
      <c r="C24" s="27" t="s">
        <v>99</v>
      </c>
      <c r="D24" s="6">
        <f t="shared" si="0"/>
        <v>7</v>
      </c>
      <c r="E24" s="119">
        <v>45586</v>
      </c>
      <c r="F24" s="27" t="s">
        <v>154</v>
      </c>
      <c r="G24" s="37" t="s">
        <v>78</v>
      </c>
      <c r="H24" s="125" t="s">
        <v>180</v>
      </c>
      <c r="I24" s="20"/>
      <c r="J24" s="20" t="s">
        <v>72</v>
      </c>
      <c r="K24" s="102" t="s">
        <v>72</v>
      </c>
      <c r="L24" s="20"/>
      <c r="M24" s="20" t="s">
        <v>72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H24" s="20" t="s">
        <v>72</v>
      </c>
      <c r="AI24" s="20"/>
      <c r="AJ24" s="20" t="s">
        <v>72</v>
      </c>
      <c r="AK24" s="103"/>
      <c r="AL24" s="108"/>
      <c r="AM24" s="105"/>
      <c r="AN24" s="105"/>
      <c r="AO24" s="104" t="s">
        <v>72</v>
      </c>
      <c r="AP24" s="20"/>
      <c r="AQ24" s="20" t="s">
        <v>72</v>
      </c>
      <c r="AR24" s="20"/>
      <c r="AS24" s="20"/>
      <c r="AT24" s="103"/>
      <c r="AU24" s="28"/>
      <c r="AV24" s="114"/>
      <c r="AW24" s="20"/>
      <c r="AX24" s="20"/>
      <c r="AY24" s="20"/>
      <c r="AZ24" s="20"/>
    </row>
    <row r="25" spans="1:52" ht="14.45">
      <c r="A25" s="116">
        <v>21</v>
      </c>
      <c r="B25" s="27">
        <v>29070362</v>
      </c>
      <c r="C25" s="6" t="s">
        <v>100</v>
      </c>
      <c r="D25" s="6">
        <f t="shared" si="0"/>
        <v>8</v>
      </c>
      <c r="E25" s="120">
        <v>45600</v>
      </c>
      <c r="F25" s="37" t="s">
        <v>154</v>
      </c>
      <c r="G25" s="6" t="s">
        <v>182</v>
      </c>
      <c r="H25" s="125" t="s">
        <v>183</v>
      </c>
      <c r="I25" s="20"/>
      <c r="J25" s="20"/>
      <c r="K25" s="102" t="s">
        <v>72</v>
      </c>
      <c r="L25" s="20" t="s">
        <v>72</v>
      </c>
      <c r="M25" s="20"/>
      <c r="N25" s="20"/>
      <c r="O25" s="20"/>
      <c r="P25" s="20"/>
      <c r="Q25" s="20"/>
      <c r="R25" s="20"/>
      <c r="S25" s="20"/>
      <c r="T25" s="20"/>
      <c r="U25" s="20" t="s">
        <v>72</v>
      </c>
      <c r="V25" s="20"/>
      <c r="W25" s="20"/>
      <c r="X25" s="20"/>
      <c r="Y25" s="20" t="s">
        <v>72</v>
      </c>
      <c r="Z25" s="20"/>
      <c r="AA25" s="20"/>
      <c r="AB25" s="20"/>
      <c r="AC25" s="20"/>
      <c r="AD25" s="20"/>
      <c r="AE25" s="20"/>
      <c r="AF25" s="20"/>
      <c r="AG25" s="20" t="s">
        <v>72</v>
      </c>
      <c r="AH25" s="20" t="s">
        <v>72</v>
      </c>
      <c r="AI25" s="20"/>
      <c r="AJ25" s="20"/>
      <c r="AK25" s="103"/>
      <c r="AL25" s="108"/>
      <c r="AM25" s="105"/>
      <c r="AN25" s="105"/>
      <c r="AO25" s="104" t="s">
        <v>72</v>
      </c>
      <c r="AP25" s="20"/>
      <c r="AQ25" s="20"/>
      <c r="AR25" s="20"/>
      <c r="AS25" s="20"/>
      <c r="AT25" s="103"/>
      <c r="AU25" s="28"/>
      <c r="AV25" s="114" t="s">
        <v>72</v>
      </c>
      <c r="AW25" s="20"/>
      <c r="AX25" s="20"/>
      <c r="AY25" s="20"/>
      <c r="AZ25" s="20"/>
    </row>
    <row r="26" spans="1:52" ht="14.45">
      <c r="A26" s="6">
        <v>22</v>
      </c>
      <c r="B26" s="121">
        <v>29069889</v>
      </c>
      <c r="C26" s="121" t="s">
        <v>101</v>
      </c>
      <c r="D26" s="6">
        <f t="shared" si="0"/>
        <v>4</v>
      </c>
      <c r="E26" s="122">
        <v>45607</v>
      </c>
      <c r="F26" s="37" t="s">
        <v>154</v>
      </c>
      <c r="G26" s="37" t="s">
        <v>78</v>
      </c>
      <c r="H26" s="125" t="s">
        <v>180</v>
      </c>
      <c r="I26" s="20"/>
      <c r="J26" s="20"/>
      <c r="K26" s="102" t="s">
        <v>72</v>
      </c>
      <c r="L26" s="20"/>
      <c r="M26" s="20" t="s">
        <v>72</v>
      </c>
      <c r="N26" s="20"/>
      <c r="O26" s="20"/>
      <c r="P26" s="20"/>
      <c r="Q26" s="20"/>
      <c r="R26" s="20"/>
      <c r="S26" s="20"/>
      <c r="T26" s="20" t="s">
        <v>72</v>
      </c>
      <c r="U26" s="20"/>
      <c r="V26" s="20"/>
      <c r="W26" s="20"/>
      <c r="X26" s="20" t="s">
        <v>72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103"/>
      <c r="AL26" s="108"/>
      <c r="AM26" s="105"/>
      <c r="AN26" s="105"/>
      <c r="AO26" s="104"/>
      <c r="AP26" s="20"/>
      <c r="AQ26" s="20"/>
      <c r="AR26" s="20"/>
      <c r="AS26" s="20"/>
      <c r="AT26" s="103"/>
      <c r="AU26" s="28"/>
      <c r="AV26" s="114"/>
      <c r="AW26" s="20"/>
      <c r="AX26" s="20"/>
      <c r="AY26" s="20"/>
      <c r="AZ26" s="20"/>
    </row>
    <row r="27" spans="1:52" ht="14.45">
      <c r="A27" s="116">
        <v>23</v>
      </c>
      <c r="B27" s="123">
        <v>29070458</v>
      </c>
      <c r="C27" s="123" t="s">
        <v>102</v>
      </c>
      <c r="D27" s="6">
        <f t="shared" si="0"/>
        <v>7</v>
      </c>
      <c r="E27" s="124">
        <v>45630</v>
      </c>
      <c r="F27" s="126" t="s">
        <v>154</v>
      </c>
      <c r="G27" s="126" t="s">
        <v>80</v>
      </c>
      <c r="H27" s="125" t="s">
        <v>180</v>
      </c>
      <c r="I27" s="20" t="s">
        <v>72</v>
      </c>
      <c r="J27" s="20"/>
      <c r="K27" s="102" t="s">
        <v>72</v>
      </c>
      <c r="L27" s="20"/>
      <c r="M27" s="20" t="s">
        <v>72</v>
      </c>
      <c r="N27" s="20"/>
      <c r="O27" s="20"/>
      <c r="P27" s="20"/>
      <c r="Q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 t="s">
        <v>72</v>
      </c>
      <c r="AD27" s="20"/>
      <c r="AE27" s="20"/>
      <c r="AF27" s="20"/>
      <c r="AG27" s="20"/>
      <c r="AH27" s="20"/>
      <c r="AI27" s="20"/>
      <c r="AJ27" s="20"/>
      <c r="AK27" s="103" t="s">
        <v>72</v>
      </c>
      <c r="AL27" s="108"/>
      <c r="AM27" s="105"/>
      <c r="AN27" s="105"/>
      <c r="AO27" s="104" t="s">
        <v>72</v>
      </c>
      <c r="AP27" s="20"/>
      <c r="AQ27" s="20"/>
      <c r="AR27" s="20"/>
      <c r="AS27" s="20"/>
      <c r="AT27" s="103"/>
      <c r="AU27" s="28"/>
      <c r="AV27" s="114"/>
      <c r="AW27" s="20"/>
      <c r="AX27" s="20"/>
      <c r="AY27" s="20"/>
      <c r="AZ27" s="20" t="s">
        <v>72</v>
      </c>
    </row>
    <row r="28" spans="1:52" ht="14.45">
      <c r="A28" s="6">
        <v>24</v>
      </c>
      <c r="B28" s="123">
        <v>29070965</v>
      </c>
      <c r="C28" s="123" t="s">
        <v>103</v>
      </c>
      <c r="D28" s="6">
        <f t="shared" si="0"/>
        <v>5</v>
      </c>
      <c r="E28" s="124">
        <v>45635</v>
      </c>
      <c r="F28" s="126" t="s">
        <v>154</v>
      </c>
      <c r="G28" s="126" t="s">
        <v>184</v>
      </c>
      <c r="H28" s="125" t="s">
        <v>185</v>
      </c>
      <c r="I28" s="20"/>
      <c r="J28" s="20"/>
      <c r="K28" s="102" t="s">
        <v>72</v>
      </c>
      <c r="L28" s="20"/>
      <c r="M28" s="20" t="s">
        <v>72</v>
      </c>
      <c r="N28" s="20"/>
      <c r="O28" s="20"/>
      <c r="P28" s="20"/>
      <c r="Q28" s="20"/>
      <c r="R28" s="20" t="s">
        <v>72</v>
      </c>
      <c r="S28" s="20"/>
      <c r="T28" s="20"/>
      <c r="U28" s="20"/>
      <c r="V28" s="20" t="s">
        <v>72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103"/>
      <c r="AL28" s="108"/>
      <c r="AM28" s="105"/>
      <c r="AN28" s="105"/>
      <c r="AO28" s="104" t="s">
        <v>72</v>
      </c>
      <c r="AP28" s="20"/>
      <c r="AQ28" s="20"/>
      <c r="AR28" s="20"/>
      <c r="AS28" s="20"/>
      <c r="AT28" s="103"/>
      <c r="AU28" s="28"/>
      <c r="AV28" s="114"/>
      <c r="AW28" s="20"/>
      <c r="AX28" s="20"/>
      <c r="AY28" s="20"/>
      <c r="AZ28" s="20"/>
    </row>
    <row r="29" spans="1:52" ht="14.45">
      <c r="A29" s="116">
        <v>25</v>
      </c>
      <c r="B29" s="123">
        <v>29070430</v>
      </c>
      <c r="C29" s="123" t="s">
        <v>156</v>
      </c>
      <c r="D29" s="6">
        <f t="shared" si="0"/>
        <v>7</v>
      </c>
      <c r="E29" s="124">
        <v>45663</v>
      </c>
      <c r="F29" s="126" t="s">
        <v>154</v>
      </c>
      <c r="G29" s="6" t="s">
        <v>73</v>
      </c>
      <c r="H29" s="125" t="s">
        <v>180</v>
      </c>
      <c r="I29" s="20"/>
      <c r="J29" s="20"/>
      <c r="K29" s="102" t="s">
        <v>72</v>
      </c>
      <c r="L29" s="20"/>
      <c r="M29" s="20" t="s">
        <v>72</v>
      </c>
      <c r="N29" s="20"/>
      <c r="O29" s="20"/>
      <c r="P29" s="20"/>
      <c r="Q29" s="20" t="s">
        <v>72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72</v>
      </c>
      <c r="AK29" s="103" t="s">
        <v>72</v>
      </c>
      <c r="AL29" s="108"/>
      <c r="AM29" s="105"/>
      <c r="AN29" s="105"/>
      <c r="AO29" s="104" t="s">
        <v>72</v>
      </c>
      <c r="AP29" s="20"/>
      <c r="AQ29" s="20" t="s">
        <v>72</v>
      </c>
      <c r="AR29" s="20"/>
      <c r="AS29" s="20"/>
      <c r="AT29" s="103"/>
      <c r="AU29" s="28"/>
      <c r="AV29" s="114"/>
      <c r="AW29" s="20"/>
      <c r="AX29" s="20"/>
      <c r="AY29" s="20"/>
      <c r="AZ29" s="20"/>
    </row>
    <row r="30" spans="1:52" ht="14.45">
      <c r="A30" s="6">
        <v>26</v>
      </c>
      <c r="B30" s="123">
        <v>29070712</v>
      </c>
      <c r="C30" s="123" t="s">
        <v>157</v>
      </c>
      <c r="D30" s="6">
        <f t="shared" si="0"/>
        <v>8</v>
      </c>
      <c r="E30" s="124">
        <v>45663</v>
      </c>
      <c r="F30" s="126" t="s">
        <v>154</v>
      </c>
      <c r="G30" s="6" t="s">
        <v>73</v>
      </c>
      <c r="H30" s="125" t="s">
        <v>180</v>
      </c>
      <c r="I30" s="20"/>
      <c r="J30" s="20"/>
      <c r="K30" s="102" t="s">
        <v>72</v>
      </c>
      <c r="L30" s="20"/>
      <c r="M30" s="20" t="s">
        <v>72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 t="s">
        <v>72</v>
      </c>
      <c r="AD30" s="20"/>
      <c r="AE30" s="20"/>
      <c r="AF30" s="20"/>
      <c r="AG30" s="20"/>
      <c r="AH30" s="20"/>
      <c r="AI30" s="20"/>
      <c r="AJ30" s="20" t="s">
        <v>72</v>
      </c>
      <c r="AK30" s="103" t="s">
        <v>72</v>
      </c>
      <c r="AL30" s="108"/>
      <c r="AM30" s="105"/>
      <c r="AN30" s="105"/>
      <c r="AO30" s="104" t="s">
        <v>72</v>
      </c>
      <c r="AP30" s="20"/>
      <c r="AQ30" s="20"/>
      <c r="AR30" s="20"/>
      <c r="AS30" s="20"/>
      <c r="AT30" s="103" t="s">
        <v>72</v>
      </c>
      <c r="AU30" s="28"/>
      <c r="AV30" s="114"/>
      <c r="AW30" s="20"/>
      <c r="AX30" s="20"/>
      <c r="AY30" s="20"/>
      <c r="AZ30" s="20" t="s">
        <v>72</v>
      </c>
    </row>
    <row r="31" spans="1:52" ht="14.45">
      <c r="A31" s="116">
        <v>27</v>
      </c>
      <c r="B31" s="123">
        <v>29074346</v>
      </c>
      <c r="C31" s="123" t="s">
        <v>158</v>
      </c>
      <c r="D31" s="6">
        <f t="shared" si="0"/>
        <v>8</v>
      </c>
      <c r="E31" s="124">
        <v>45966</v>
      </c>
      <c r="F31" s="126" t="s">
        <v>154</v>
      </c>
      <c r="G31" s="126" t="s">
        <v>78</v>
      </c>
      <c r="H31" s="125" t="s">
        <v>180</v>
      </c>
      <c r="I31" s="20" t="s">
        <v>72</v>
      </c>
      <c r="J31" s="20"/>
      <c r="K31" s="102" t="s">
        <v>72</v>
      </c>
      <c r="L31" s="20"/>
      <c r="M31" s="20" t="s">
        <v>72</v>
      </c>
      <c r="N31" s="20"/>
      <c r="O31" s="20"/>
      <c r="P31" s="20"/>
      <c r="Q31" s="20"/>
      <c r="R31" s="20"/>
      <c r="S31" s="20"/>
      <c r="T31" s="20"/>
      <c r="U31" s="20"/>
      <c r="V31" s="20" t="s">
        <v>72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72</v>
      </c>
      <c r="AK31" s="103" t="s">
        <v>72</v>
      </c>
      <c r="AL31" s="108"/>
      <c r="AM31" s="105"/>
      <c r="AN31" s="105"/>
      <c r="AO31" s="104" t="s">
        <v>72</v>
      </c>
      <c r="AP31" s="20"/>
      <c r="AQ31" s="20"/>
      <c r="AR31" s="20"/>
      <c r="AS31" s="20"/>
      <c r="AT31" s="103"/>
      <c r="AU31" s="28"/>
      <c r="AV31" s="114"/>
      <c r="AW31" s="20"/>
      <c r="AX31" s="20"/>
      <c r="AY31" s="20"/>
      <c r="AZ31" s="20" t="s">
        <v>72</v>
      </c>
    </row>
    <row r="32" spans="1:52" ht="14.45">
      <c r="A32" s="123">
        <v>28</v>
      </c>
      <c r="B32" s="123">
        <v>29074390</v>
      </c>
      <c r="C32" s="123" t="s">
        <v>186</v>
      </c>
      <c r="D32" s="6">
        <f t="shared" si="0"/>
        <v>8</v>
      </c>
      <c r="E32" s="124">
        <v>46006</v>
      </c>
      <c r="F32" s="126" t="s">
        <v>154</v>
      </c>
      <c r="G32" s="126" t="s">
        <v>80</v>
      </c>
      <c r="H32" s="134" t="s">
        <v>180</v>
      </c>
      <c r="I32" s="20"/>
      <c r="J32" s="20"/>
      <c r="K32" s="102" t="s">
        <v>72</v>
      </c>
      <c r="L32" s="20"/>
      <c r="M32" s="20" t="s">
        <v>72</v>
      </c>
      <c r="N32" s="20"/>
      <c r="O32" s="20"/>
      <c r="P32" s="20"/>
      <c r="Q32" s="20"/>
      <c r="R32" s="20"/>
      <c r="S32" s="20"/>
      <c r="T32" s="20"/>
      <c r="U32" s="20"/>
      <c r="V32" s="20"/>
      <c r="W32" s="20" t="s">
        <v>72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72</v>
      </c>
      <c r="AK32" s="103" t="s">
        <v>72</v>
      </c>
      <c r="AL32" s="103" t="s">
        <v>72</v>
      </c>
      <c r="AM32" s="28"/>
      <c r="AN32" s="28"/>
      <c r="AO32" s="104" t="s">
        <v>72</v>
      </c>
      <c r="AP32" s="20"/>
      <c r="AQ32" s="20"/>
      <c r="AR32" s="20"/>
      <c r="AS32" s="20"/>
      <c r="AT32" s="103" t="s">
        <v>72</v>
      </c>
      <c r="AU32" s="28"/>
      <c r="AV32" s="114"/>
      <c r="AW32" s="20"/>
      <c r="AX32" s="20"/>
      <c r="AY32" s="20"/>
      <c r="AZ32" s="20"/>
    </row>
    <row r="33" spans="1:52" ht="15" customHeight="1">
      <c r="A33" s="123">
        <v>29</v>
      </c>
      <c r="B33" s="123">
        <v>29075154</v>
      </c>
      <c r="C33" s="123" t="s">
        <v>187</v>
      </c>
      <c r="D33" s="6">
        <v>5</v>
      </c>
      <c r="E33" s="124">
        <v>46078</v>
      </c>
      <c r="F33" s="126" t="s">
        <v>154</v>
      </c>
      <c r="G33" s="133" t="s">
        <v>68</v>
      </c>
      <c r="H33" s="126" t="s">
        <v>180</v>
      </c>
      <c r="I33" s="20"/>
      <c r="J33" s="20"/>
      <c r="K33" s="102"/>
      <c r="L33" s="20"/>
      <c r="M33" s="20" t="s">
        <v>72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72</v>
      </c>
      <c r="AK33" s="103" t="s">
        <v>72</v>
      </c>
      <c r="AL33" s="103"/>
      <c r="AM33" s="28"/>
      <c r="AN33" s="28"/>
      <c r="AO33" s="104" t="s">
        <v>72</v>
      </c>
      <c r="AP33" s="20"/>
      <c r="AQ33" s="20" t="s">
        <v>72</v>
      </c>
      <c r="AR33" s="20"/>
      <c r="AS33" s="20"/>
      <c r="AT33" s="103"/>
      <c r="AU33" s="28"/>
      <c r="AV33" s="114"/>
      <c r="AW33" s="20"/>
      <c r="AX33" s="20"/>
      <c r="AY33" s="20"/>
      <c r="AZ33" s="20" t="s">
        <v>72</v>
      </c>
    </row>
    <row r="34" spans="1:52" ht="21">
      <c r="C34" s="146" t="s">
        <v>105</v>
      </c>
      <c r="D34" s="147"/>
      <c r="E34" s="147"/>
      <c r="F34" s="147"/>
      <c r="G34" s="148"/>
    </row>
  </sheetData>
  <mergeCells count="10">
    <mergeCell ref="G2:G4"/>
    <mergeCell ref="H2:H4"/>
    <mergeCell ref="A1:E1"/>
    <mergeCell ref="C34:G3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5e5__x4ed8_ xmlns="6130dadf-8116-4aa4-826e-2c87b396f563" xsi:nil="true"/>
    <TaxCatchAll xmlns="fc0087f3-640d-42b7-96fa-7e972e923e88" xsi:nil="true"/>
    <lcf76f155ced4ddcb4097134ff3c332f xmlns="6130dadf-8116-4aa4-826e-2c87b396f563">
      <Terms xmlns="http://schemas.microsoft.com/office/infopath/2007/PartnerControls"/>
    </lcf76f155ced4ddcb4097134ff3c332f>
    <Comment xmlns="6130dadf-8116-4aa4-826e-2c87b396f563" xsi:nil="true"/>
    <TranslatedLang xmlns="6130dadf-8116-4aa4-826e-2c87b396f5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5A861950CAC43B4695D8564BF8923" ma:contentTypeVersion="21" ma:contentTypeDescription="Create a new document." ma:contentTypeScope="" ma:versionID="eb0ac2042762d3b44cf8878a7100dfba">
  <xsd:schema xmlns:xsd="http://www.w3.org/2001/XMLSchema" xmlns:xs="http://www.w3.org/2001/XMLSchema" xmlns:p="http://schemas.microsoft.com/office/2006/metadata/properties" xmlns:ns2="6130dadf-8116-4aa4-826e-2c87b396f563" xmlns:ns3="fc0087f3-640d-42b7-96fa-7e972e923e88" targetNamespace="http://schemas.microsoft.com/office/2006/metadata/properties" ma:root="true" ma:fieldsID="7a054e59e8c690a1486461849f8ee173" ns2:_="" ns3:_="">
    <xsd:import namespace="6130dadf-8116-4aa4-826e-2c87b396f563"/>
    <xsd:import namespace="fc0087f3-640d-42b7-96fa-7e972e923e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_x65e5__x4ed8_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0dadf-8116-4aa4-826e-2c87b396f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e463ce4-1673-456b-b56a-569ad750cc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65e5__x4ed8_" ma:index="19" nillable="true" ma:displayName="Date" ma:format="DateOnly" ma:internalName="_x65e5__x4ed8_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23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087f3-640d-42b7-96fa-7e972e923e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a574450-2bdb-40bd-b6d5-b27af12b085a}" ma:internalName="TaxCatchAll" ma:showField="CatchAllData" ma:web="fc0087f3-640d-42b7-96fa-7e972e923e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CEA0B-A954-419D-B1BB-84BAF8AE3314}"/>
</file>

<file path=customXml/itemProps2.xml><?xml version="1.0" encoding="utf-8"?>
<ds:datastoreItem xmlns:ds="http://schemas.openxmlformats.org/officeDocument/2006/customXml" ds:itemID="{7AC8925C-3A1B-4C84-A29E-1734EDAC3DC1}"/>
</file>

<file path=customXml/itemProps3.xml><?xml version="1.0" encoding="utf-8"?>
<ds:datastoreItem xmlns:ds="http://schemas.openxmlformats.org/officeDocument/2006/customXml" ds:itemID="{6539070B-41CD-4305-87C6-8A1D017B1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Papinder Singh (MA)</dc:creator>
  <cp:keywords/>
  <dc:description/>
  <cp:lastModifiedBy/>
  <cp:revision/>
  <dcterms:created xsi:type="dcterms:W3CDTF">2024-01-05T10:19:25Z</dcterms:created>
  <dcterms:modified xsi:type="dcterms:W3CDTF">2026-06-12T09:57:54Z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0x010100F575A861950CAC43B4695D8564BF8923</vt:lpwstr>
  </property>
  <property fmtid="{D5CDD505-2E9C-101B-9397-08002B2CF9AE}" pid="3" name="MediaServiceImageTags">
    <vt:lpwstr/>
  </property>
</Properties>
</file>